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wid_Lipus/Downloads/"/>
    </mc:Choice>
  </mc:AlternateContent>
  <xr:revisionPtr revIDLastSave="0" documentId="13_ncr:1_{0FD255B9-DD49-4345-9041-6279B99C9459}" xr6:coauthVersionLast="47" xr6:coauthVersionMax="47" xr10:uidLastSave="{00000000-0000-0000-0000-000000000000}"/>
  <bookViews>
    <workbookView xWindow="-120" yWindow="680" windowWidth="19420" windowHeight="10300" activeTab="1" xr2:uid="{00000000-000D-0000-FFFF-FFFF00000000}"/>
  </bookViews>
  <sheets>
    <sheet name="SourcedData" sheetId="1" r:id="rId1"/>
    <sheet name="VariousOperations_Calculations" sheetId="2" r:id="rId2"/>
    <sheet name="VariousOperations_Employees" sheetId="3" r:id="rId3"/>
  </sheets>
  <definedNames>
    <definedName name="_xlnm._FilterDatabase" localSheetId="0" hidden="1">SourcedData!$A$1:$CN$1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35" i="3" l="1"/>
  <c r="BK34" i="3"/>
  <c r="BK30" i="3"/>
  <c r="BK29" i="3"/>
  <c r="BA20" i="3"/>
  <c r="AZ20" i="3"/>
  <c r="AY20" i="3"/>
  <c r="AX20" i="3"/>
  <c r="BO20" i="3" s="1"/>
  <c r="AW20" i="3"/>
  <c r="AV20" i="3"/>
  <c r="AU20" i="3"/>
  <c r="AT20" i="3"/>
  <c r="BN20" i="3" s="1"/>
  <c r="AS20" i="3"/>
  <c r="AR20" i="3"/>
  <c r="AQ20" i="3"/>
  <c r="AP20" i="3"/>
  <c r="BM20" i="3" s="1"/>
  <c r="AO20" i="3"/>
  <c r="AN20" i="3"/>
  <c r="AM20" i="3"/>
  <c r="AL20" i="3"/>
  <c r="BL20" i="3" s="1"/>
  <c r="AK20" i="3"/>
  <c r="AJ20" i="3"/>
  <c r="AI20" i="3"/>
  <c r="AH20" i="3"/>
  <c r="BK20" i="3" s="1"/>
  <c r="AG20" i="3"/>
  <c r="AE20" i="3"/>
  <c r="AD20" i="3"/>
  <c r="BJ20" i="3" s="1"/>
  <c r="AC20" i="3"/>
  <c r="AB20" i="3"/>
  <c r="AA20" i="3"/>
  <c r="Z20" i="3"/>
  <c r="BI20" i="3" s="1"/>
  <c r="Y20" i="3"/>
  <c r="X20" i="3"/>
  <c r="W20" i="3"/>
  <c r="V20" i="3"/>
  <c r="BH20" i="3" s="1"/>
  <c r="U20" i="3"/>
  <c r="T20" i="3"/>
  <c r="S20" i="3"/>
  <c r="R20" i="3"/>
  <c r="BG20" i="3" s="1"/>
  <c r="Q20" i="3"/>
  <c r="P20" i="3"/>
  <c r="O20" i="3"/>
  <c r="N20" i="3"/>
  <c r="BF20" i="3" s="1"/>
  <c r="M20" i="3"/>
  <c r="L20" i="3"/>
  <c r="K20" i="3"/>
  <c r="J20" i="3"/>
  <c r="BE20" i="3" s="1"/>
  <c r="I20" i="3"/>
  <c r="H20" i="3"/>
  <c r="G20" i="3"/>
  <c r="F20" i="3"/>
  <c r="BD20" i="3" s="1"/>
  <c r="E20" i="3"/>
  <c r="D20" i="3"/>
  <c r="C20" i="3"/>
  <c r="B20" i="3"/>
  <c r="BC20" i="3" s="1"/>
  <c r="BG19" i="3"/>
  <c r="BC19" i="3"/>
  <c r="BA19" i="3"/>
  <c r="AZ19" i="3"/>
  <c r="AY19" i="3"/>
  <c r="AX19" i="3"/>
  <c r="BO19" i="3" s="1"/>
  <c r="AW19" i="3"/>
  <c r="AV19" i="3"/>
  <c r="AU19" i="3"/>
  <c r="AT19" i="3"/>
  <c r="BN19" i="3" s="1"/>
  <c r="AS19" i="3"/>
  <c r="AR19" i="3"/>
  <c r="AQ19" i="3"/>
  <c r="AP19" i="3"/>
  <c r="BM19" i="3" s="1"/>
  <c r="AO19" i="3"/>
  <c r="AN19" i="3"/>
  <c r="AM19" i="3"/>
  <c r="AL19" i="3"/>
  <c r="AK19" i="3"/>
  <c r="AJ19" i="3"/>
  <c r="AI19" i="3"/>
  <c r="AH19" i="3"/>
  <c r="AG19" i="3"/>
  <c r="AF19" i="3"/>
  <c r="AE19" i="3"/>
  <c r="W19" i="3"/>
  <c r="BH19" i="3" s="1"/>
  <c r="O19" i="3"/>
  <c r="BF19" i="3" s="1"/>
  <c r="K19" i="3"/>
  <c r="BE19" i="3" s="1"/>
  <c r="G19" i="3"/>
  <c r="BD19" i="3" s="1"/>
  <c r="BA18" i="3"/>
  <c r="AZ18" i="3"/>
  <c r="AY18" i="3"/>
  <c r="AX18" i="3"/>
  <c r="BO18" i="3" s="1"/>
  <c r="AW18" i="3"/>
  <c r="AV18" i="3"/>
  <c r="AU18" i="3"/>
  <c r="AT18" i="3"/>
  <c r="BN18" i="3" s="1"/>
  <c r="AS18" i="3"/>
  <c r="AR18" i="3"/>
  <c r="AQ18" i="3"/>
  <c r="AP18" i="3"/>
  <c r="BM18" i="3" s="1"/>
  <c r="AO18" i="3"/>
  <c r="AN18" i="3"/>
  <c r="AM18" i="3"/>
  <c r="AL18" i="3"/>
  <c r="BL18" i="3" s="1"/>
  <c r="AK18" i="3"/>
  <c r="AJ18" i="3"/>
  <c r="AI18" i="3"/>
  <c r="AH18" i="3"/>
  <c r="BK18" i="3" s="1"/>
  <c r="AG18" i="3"/>
  <c r="AF18" i="3"/>
  <c r="AE18" i="3"/>
  <c r="AD18" i="3"/>
  <c r="BJ18" i="3" s="1"/>
  <c r="AC18" i="3"/>
  <c r="AB18" i="3"/>
  <c r="AA18" i="3"/>
  <c r="Z18" i="3"/>
  <c r="BI18" i="3" s="1"/>
  <c r="Y18" i="3"/>
  <c r="X18" i="3"/>
  <c r="W18" i="3"/>
  <c r="V18" i="3"/>
  <c r="BH18" i="3" s="1"/>
  <c r="U18" i="3"/>
  <c r="T18" i="3"/>
  <c r="R18" i="3"/>
  <c r="BG18" i="3" s="1"/>
  <c r="Q18" i="3"/>
  <c r="P18" i="3"/>
  <c r="O18" i="3"/>
  <c r="N18" i="3"/>
  <c r="BF18" i="3" s="1"/>
  <c r="M18" i="3"/>
  <c r="L18" i="3"/>
  <c r="K18" i="3"/>
  <c r="J18" i="3"/>
  <c r="BE18" i="3" s="1"/>
  <c r="I18" i="3"/>
  <c r="H18" i="3"/>
  <c r="G18" i="3"/>
  <c r="F18" i="3"/>
  <c r="BD18" i="3" s="1"/>
  <c r="E18" i="3"/>
  <c r="D18" i="3"/>
  <c r="C18" i="3"/>
  <c r="B18" i="3"/>
  <c r="BC18" i="3" s="1"/>
  <c r="BA17" i="3"/>
  <c r="AZ17" i="3"/>
  <c r="AY17" i="3"/>
  <c r="AX17" i="3"/>
  <c r="BO17" i="3" s="1"/>
  <c r="AW17" i="3"/>
  <c r="AV17" i="3"/>
  <c r="AU17" i="3"/>
  <c r="AT17" i="3"/>
  <c r="BN17" i="3" s="1"/>
  <c r="AS17" i="3"/>
  <c r="AR17" i="3"/>
  <c r="AQ17" i="3"/>
  <c r="AP17" i="3"/>
  <c r="BM17" i="3" s="1"/>
  <c r="AO17" i="3"/>
  <c r="AN17" i="3"/>
  <c r="BL17" i="3" s="1"/>
  <c r="AI17" i="3"/>
  <c r="AH17" i="3"/>
  <c r="BK17" i="3" s="1"/>
  <c r="AG17" i="3"/>
  <c r="AF17" i="3"/>
  <c r="AE17" i="3"/>
  <c r="AD17" i="3"/>
  <c r="BJ17" i="3" s="1"/>
  <c r="AC17" i="3"/>
  <c r="AB17" i="3"/>
  <c r="AA17" i="3"/>
  <c r="Z17" i="3"/>
  <c r="BI17" i="3" s="1"/>
  <c r="Y17" i="3"/>
  <c r="X17" i="3"/>
  <c r="W17" i="3"/>
  <c r="V17" i="3"/>
  <c r="BH17" i="3" s="1"/>
  <c r="U17" i="3"/>
  <c r="T17" i="3"/>
  <c r="S17" i="3"/>
  <c r="R17" i="3"/>
  <c r="BG17" i="3" s="1"/>
  <c r="Q17" i="3"/>
  <c r="P17" i="3"/>
  <c r="O17" i="3"/>
  <c r="N17" i="3"/>
  <c r="BF17" i="3" s="1"/>
  <c r="M17" i="3"/>
  <c r="L17" i="3"/>
  <c r="K17" i="3"/>
  <c r="J17" i="3"/>
  <c r="BE17" i="3" s="1"/>
  <c r="I17" i="3"/>
  <c r="H17" i="3"/>
  <c r="F17" i="3"/>
  <c r="BD17" i="3" s="1"/>
  <c r="E17" i="3"/>
  <c r="D17" i="3"/>
  <c r="BC17" i="3" s="1"/>
  <c r="AS16" i="3"/>
  <c r="AR16" i="3"/>
  <c r="AQ16" i="3"/>
  <c r="AP16" i="3"/>
  <c r="AO16" i="3"/>
  <c r="AN16" i="3"/>
  <c r="AM16" i="3"/>
  <c r="AL16" i="3"/>
  <c r="BL16" i="3" s="1"/>
  <c r="AK16" i="3"/>
  <c r="AJ16" i="3"/>
  <c r="AI16" i="3"/>
  <c r="AH16" i="3"/>
  <c r="BK16" i="3" s="1"/>
  <c r="AG16" i="3"/>
  <c r="AF16" i="3"/>
  <c r="AE16" i="3"/>
  <c r="AD16" i="3"/>
  <c r="BJ16" i="3" s="1"/>
  <c r="AC16" i="3"/>
  <c r="AB16" i="3"/>
  <c r="AA16" i="3"/>
  <c r="Z16" i="3"/>
  <c r="BI16" i="3" s="1"/>
  <c r="Y16" i="3"/>
  <c r="X16" i="3"/>
  <c r="W16" i="3"/>
  <c r="V16" i="3"/>
  <c r="BH16" i="3" s="1"/>
  <c r="U16" i="3"/>
  <c r="T16" i="3"/>
  <c r="S16" i="3"/>
  <c r="R16" i="3"/>
  <c r="BG16" i="3" s="1"/>
  <c r="Q16" i="3"/>
  <c r="P16" i="3"/>
  <c r="O16" i="3"/>
  <c r="N16" i="3"/>
  <c r="BF16" i="3" s="1"/>
  <c r="M16" i="3"/>
  <c r="L16" i="3"/>
  <c r="K16" i="3"/>
  <c r="J16" i="3"/>
  <c r="BE16" i="3" s="1"/>
  <c r="I16" i="3"/>
  <c r="H16" i="3"/>
  <c r="G16" i="3"/>
  <c r="F16" i="3"/>
  <c r="BD16" i="3" s="1"/>
  <c r="E16" i="3"/>
  <c r="D16" i="3"/>
  <c r="C16" i="3"/>
  <c r="B16" i="3"/>
  <c r="BC16" i="3" s="1"/>
  <c r="BA15" i="3"/>
  <c r="AZ15" i="3"/>
  <c r="AY15" i="3"/>
  <c r="AX15" i="3"/>
  <c r="BO15" i="3" s="1"/>
  <c r="AW15" i="3"/>
  <c r="AV15" i="3"/>
  <c r="AU15" i="3"/>
  <c r="AT15" i="3"/>
  <c r="BN15" i="3" s="1"/>
  <c r="AS15" i="3"/>
  <c r="AR15" i="3"/>
  <c r="AQ15" i="3"/>
  <c r="AP15" i="3"/>
  <c r="BM15" i="3" s="1"/>
  <c r="AO15" i="3"/>
  <c r="AN15" i="3"/>
  <c r="AM15" i="3"/>
  <c r="AL15" i="3"/>
  <c r="BL15" i="3" s="1"/>
  <c r="AK15" i="3"/>
  <c r="AJ15" i="3"/>
  <c r="AI15" i="3"/>
  <c r="AH15" i="3"/>
  <c r="BK15" i="3" s="1"/>
  <c r="AG15" i="3"/>
  <c r="AF15" i="3"/>
  <c r="AE15" i="3"/>
  <c r="AD15" i="3"/>
  <c r="BJ15" i="3" s="1"/>
  <c r="AC15" i="3"/>
  <c r="AB15" i="3"/>
  <c r="AA15" i="3"/>
  <c r="Z15" i="3"/>
  <c r="BI15" i="3" s="1"/>
  <c r="Y15" i="3"/>
  <c r="X15" i="3"/>
  <c r="W15" i="3"/>
  <c r="V15" i="3"/>
  <c r="BH15" i="3" s="1"/>
  <c r="U15" i="3"/>
  <c r="T15" i="3"/>
  <c r="S15" i="3"/>
  <c r="R15" i="3"/>
  <c r="BG15" i="3" s="1"/>
  <c r="Q15" i="3"/>
  <c r="P15" i="3"/>
  <c r="O15" i="3"/>
  <c r="N15" i="3"/>
  <c r="BF15" i="3" s="1"/>
  <c r="M15" i="3"/>
  <c r="L15" i="3"/>
  <c r="K15" i="3"/>
  <c r="J15" i="3"/>
  <c r="BE15" i="3" s="1"/>
  <c r="I15" i="3"/>
  <c r="H15" i="3"/>
  <c r="G15" i="3"/>
  <c r="F15" i="3"/>
  <c r="BD15" i="3" s="1"/>
  <c r="E15" i="3"/>
  <c r="D15" i="3"/>
  <c r="C15" i="3"/>
  <c r="B15" i="3"/>
  <c r="BC15" i="3" s="1"/>
  <c r="AK14" i="3"/>
  <c r="AJ14" i="3"/>
  <c r="AI14" i="3"/>
  <c r="AH14" i="3"/>
  <c r="BK14" i="3" s="1"/>
  <c r="AG14" i="3"/>
  <c r="AF14" i="3"/>
  <c r="AE14" i="3"/>
  <c r="AD14" i="3"/>
  <c r="BJ14" i="3" s="1"/>
  <c r="AC14" i="3"/>
  <c r="AB14" i="3"/>
  <c r="AA14" i="3"/>
  <c r="Z14" i="3"/>
  <c r="BI14" i="3" s="1"/>
  <c r="Y14" i="3"/>
  <c r="X14" i="3"/>
  <c r="W14" i="3"/>
  <c r="V14" i="3"/>
  <c r="BH14" i="3" s="1"/>
  <c r="U14" i="3"/>
  <c r="T14" i="3"/>
  <c r="S14" i="3"/>
  <c r="R14" i="3"/>
  <c r="BG14" i="3" s="1"/>
  <c r="Q14" i="3"/>
  <c r="P14" i="3"/>
  <c r="O14" i="3"/>
  <c r="N14" i="3"/>
  <c r="BF14" i="3" s="1"/>
  <c r="BH13" i="3"/>
  <c r="BG13" i="3"/>
  <c r="BF13" i="3"/>
  <c r="BE13" i="3"/>
  <c r="BD13" i="3"/>
  <c r="BC13" i="3"/>
  <c r="BA13" i="3"/>
  <c r="AZ13" i="3"/>
  <c r="AY13" i="3"/>
  <c r="AX13" i="3"/>
  <c r="BO13" i="3" s="1"/>
  <c r="AW13" i="3"/>
  <c r="AV13" i="3"/>
  <c r="AU13" i="3"/>
  <c r="AT13" i="3"/>
  <c r="BN13" i="3" s="1"/>
  <c r="AS13" i="3"/>
  <c r="AR13" i="3"/>
  <c r="AQ13" i="3"/>
  <c r="AP13" i="3"/>
  <c r="BM13" i="3" s="1"/>
  <c r="AO13" i="3"/>
  <c r="AN13" i="3"/>
  <c r="AM13" i="3"/>
  <c r="AL13" i="3"/>
  <c r="BL13" i="3" s="1"/>
  <c r="AK13" i="3"/>
  <c r="AJ13" i="3"/>
  <c r="AI13" i="3"/>
  <c r="AH13" i="3"/>
  <c r="BK13" i="3" s="1"/>
  <c r="AG13" i="3"/>
  <c r="AF13" i="3"/>
  <c r="AE13" i="3"/>
  <c r="AD13" i="3"/>
  <c r="BJ13" i="3" s="1"/>
  <c r="AC13" i="3"/>
  <c r="AB13" i="3"/>
  <c r="AA13" i="3"/>
  <c r="BI13" i="3" s="1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A12" i="3"/>
  <c r="AZ12" i="3"/>
  <c r="AY12" i="3"/>
  <c r="AX12" i="3"/>
  <c r="BO12" i="3" s="1"/>
  <c r="AW12" i="3"/>
  <c r="AV12" i="3"/>
  <c r="AU12" i="3"/>
  <c r="AT12" i="3"/>
  <c r="BN12" i="3" s="1"/>
  <c r="AS12" i="3"/>
  <c r="AR12" i="3"/>
  <c r="AQ12" i="3"/>
  <c r="AP12" i="3"/>
  <c r="BM12" i="3" s="1"/>
  <c r="AO12" i="3"/>
  <c r="AN12" i="3"/>
  <c r="AM12" i="3"/>
  <c r="AL12" i="3"/>
  <c r="BL12" i="3" s="1"/>
  <c r="AK12" i="3"/>
  <c r="AJ12" i="3"/>
  <c r="AI12" i="3"/>
  <c r="AH12" i="3"/>
  <c r="BK12" i="3" s="1"/>
  <c r="AG12" i="3"/>
  <c r="AF12" i="3"/>
  <c r="AE12" i="3"/>
  <c r="AD12" i="3"/>
  <c r="BJ12" i="3" s="1"/>
  <c r="AC12" i="3"/>
  <c r="AB12" i="3"/>
  <c r="AA12" i="3"/>
  <c r="Z12" i="3"/>
  <c r="BI12" i="3" s="1"/>
  <c r="Y12" i="3"/>
  <c r="X12" i="3"/>
  <c r="W12" i="3"/>
  <c r="V12" i="3"/>
  <c r="BH12" i="3" s="1"/>
  <c r="U12" i="3"/>
  <c r="T12" i="3"/>
  <c r="S12" i="3"/>
  <c r="R12" i="3"/>
  <c r="BG12" i="3" s="1"/>
  <c r="Q12" i="3"/>
  <c r="P12" i="3"/>
  <c r="O12" i="3"/>
  <c r="N12" i="3"/>
  <c r="BF12" i="3" s="1"/>
  <c r="M12" i="3"/>
  <c r="L12" i="3"/>
  <c r="K12" i="3"/>
  <c r="J12" i="3"/>
  <c r="BE12" i="3" s="1"/>
  <c r="I12" i="3"/>
  <c r="H12" i="3"/>
  <c r="G12" i="3"/>
  <c r="F12" i="3"/>
  <c r="BD12" i="3" s="1"/>
  <c r="E12" i="3"/>
  <c r="D12" i="3"/>
  <c r="C12" i="3"/>
  <c r="B12" i="3"/>
  <c r="BC12" i="3" s="1"/>
  <c r="BV220" i="2"/>
  <c r="BU220" i="2"/>
  <c r="CQ220" i="2" s="1"/>
  <c r="BT220" i="2"/>
  <c r="CP220" i="2" s="1"/>
  <c r="BS220" i="2"/>
  <c r="CF219" i="2"/>
  <c r="BV219" i="2"/>
  <c r="BU219" i="2"/>
  <c r="CQ219" i="2" s="1"/>
  <c r="BT219" i="2"/>
  <c r="CP219" i="2" s="1"/>
  <c r="BS219" i="2"/>
  <c r="CO219" i="2" s="1"/>
  <c r="BR219" i="2"/>
  <c r="CN219" i="2" s="1"/>
  <c r="BQ219" i="2"/>
  <c r="CM219" i="2" s="1"/>
  <c r="BP219" i="2"/>
  <c r="CL219" i="2" s="1"/>
  <c r="BO219" i="2"/>
  <c r="CK219" i="2" s="1"/>
  <c r="BN219" i="2"/>
  <c r="CJ219" i="2" s="1"/>
  <c r="BM219" i="2"/>
  <c r="CI219" i="2" s="1"/>
  <c r="BL219" i="2"/>
  <c r="BI219" i="2"/>
  <c r="CE219" i="2" s="1"/>
  <c r="BV218" i="2"/>
  <c r="BU218" i="2"/>
  <c r="CQ218" i="2" s="1"/>
  <c r="BT218" i="2"/>
  <c r="CP218" i="2" s="1"/>
  <c r="BS218" i="2"/>
  <c r="CO218" i="2" s="1"/>
  <c r="BR218" i="2"/>
  <c r="CN218" i="2" s="1"/>
  <c r="BQ218" i="2"/>
  <c r="CM218" i="2" s="1"/>
  <c r="BP218" i="2"/>
  <c r="CL218" i="2" s="1"/>
  <c r="BO218" i="2"/>
  <c r="CK218" i="2" s="1"/>
  <c r="BN218" i="2"/>
  <c r="CJ218" i="2" s="1"/>
  <c r="BM218" i="2"/>
  <c r="CI218" i="2" s="1"/>
  <c r="BL218" i="2"/>
  <c r="CH218" i="2" s="1"/>
  <c r="BK218" i="2"/>
  <c r="CG218" i="2" s="1"/>
  <c r="BJ218" i="2"/>
  <c r="CF218" i="2" s="1"/>
  <c r="BI218" i="2"/>
  <c r="CE218" i="2" s="1"/>
  <c r="CO213" i="2"/>
  <c r="CN213" i="2"/>
  <c r="CM213" i="2"/>
  <c r="CL213" i="2"/>
  <c r="CK213" i="2"/>
  <c r="CJ213" i="2"/>
  <c r="CI213" i="2"/>
  <c r="CH213" i="2"/>
  <c r="CO212" i="2"/>
  <c r="CN212" i="2"/>
  <c r="CM212" i="2"/>
  <c r="CL212" i="2"/>
  <c r="CK212" i="2"/>
  <c r="CJ212" i="2"/>
  <c r="CI212" i="2"/>
  <c r="CH212" i="2"/>
  <c r="CO210" i="2"/>
  <c r="CO216" i="2" s="1"/>
  <c r="CN210" i="2"/>
  <c r="CN216" i="2" s="1"/>
  <c r="CM210" i="2"/>
  <c r="CM216" i="2" s="1"/>
  <c r="CL210" i="2"/>
  <c r="CL216" i="2" s="1"/>
  <c r="CK210" i="2"/>
  <c r="CK216" i="2" s="1"/>
  <c r="CJ210" i="2"/>
  <c r="CJ216" i="2" s="1"/>
  <c r="CI210" i="2"/>
  <c r="CI216" i="2" s="1"/>
  <c r="CH210" i="2"/>
  <c r="CH216" i="2" s="1"/>
  <c r="CO209" i="2"/>
  <c r="CO215" i="2" s="1"/>
  <c r="CN209" i="2"/>
  <c r="CN215" i="2" s="1"/>
  <c r="CM209" i="2"/>
  <c r="CM215" i="2" s="1"/>
  <c r="CL209" i="2"/>
  <c r="CL215" i="2" s="1"/>
  <c r="CK209" i="2"/>
  <c r="CK215" i="2" s="1"/>
  <c r="CJ209" i="2"/>
  <c r="CJ215" i="2" s="1"/>
  <c r="CI209" i="2"/>
  <c r="CI215" i="2" s="1"/>
  <c r="CH209" i="2"/>
  <c r="CH215" i="2" s="1"/>
  <c r="BT197" i="2"/>
  <c r="BS197" i="2"/>
  <c r="BS205" i="2" s="1"/>
  <c r="BR197" i="2"/>
  <c r="BR205" i="2" s="1"/>
  <c r="BQ197" i="2"/>
  <c r="BQ205" i="2" s="1"/>
  <c r="BP197" i="2"/>
  <c r="BP205" i="2" s="1"/>
  <c r="BO197" i="2"/>
  <c r="BO205" i="2" s="1"/>
  <c r="BN197" i="2"/>
  <c r="BN205" i="2" s="1"/>
  <c r="BT196" i="2"/>
  <c r="BS196" i="2"/>
  <c r="BS204" i="2" s="1"/>
  <c r="BR196" i="2"/>
  <c r="BR204" i="2" s="1"/>
  <c r="BQ196" i="2"/>
  <c r="BQ204" i="2" s="1"/>
  <c r="BP196" i="2"/>
  <c r="BP204" i="2" s="1"/>
  <c r="BO196" i="2"/>
  <c r="BO204" i="2" s="1"/>
  <c r="BN196" i="2"/>
  <c r="BT195" i="2"/>
  <c r="BS195" i="2"/>
  <c r="BR195" i="2"/>
  <c r="BQ195" i="2"/>
  <c r="BP195" i="2"/>
  <c r="BO195" i="2"/>
  <c r="BN195" i="2"/>
  <c r="BT194" i="2"/>
  <c r="BS194" i="2"/>
  <c r="BR194" i="2"/>
  <c r="BQ194" i="2"/>
  <c r="BP194" i="2"/>
  <c r="BO194" i="2"/>
  <c r="BN194" i="2"/>
  <c r="BT193" i="2"/>
  <c r="BS193" i="2"/>
  <c r="BR193" i="2"/>
  <c r="BQ193" i="2"/>
  <c r="BP193" i="2"/>
  <c r="BO193" i="2"/>
  <c r="BN193" i="2"/>
  <c r="BR192" i="2"/>
  <c r="BQ192" i="2"/>
  <c r="BP192" i="2"/>
  <c r="BO192" i="2"/>
  <c r="BN192" i="2"/>
  <c r="CJ185" i="2"/>
  <c r="CQ176" i="2"/>
  <c r="CQ177" i="2" s="1"/>
  <c r="CP176" i="2"/>
  <c r="CP177" i="2" s="1"/>
  <c r="CO176" i="2"/>
  <c r="CO177" i="2" s="1"/>
  <c r="CN176" i="2"/>
  <c r="CN177" i="2" s="1"/>
  <c r="CM176" i="2"/>
  <c r="CM177" i="2" s="1"/>
  <c r="CL176" i="2"/>
  <c r="CL177" i="2" s="1"/>
  <c r="CK176" i="2"/>
  <c r="CK177" i="2" s="1"/>
  <c r="CJ176" i="2"/>
  <c r="CJ177" i="2" s="1"/>
  <c r="CI176" i="2"/>
  <c r="CI177" i="2" s="1"/>
  <c r="CH176" i="2"/>
  <c r="CH177" i="2" s="1"/>
  <c r="CG176" i="2"/>
  <c r="CG177" i="2" s="1"/>
  <c r="CF176" i="2"/>
  <c r="CF177" i="2" s="1"/>
  <c r="CE176" i="2"/>
  <c r="CE177" i="2" s="1"/>
  <c r="CQ169" i="2"/>
  <c r="CP169" i="2"/>
  <c r="CO169" i="2"/>
  <c r="CN169" i="2"/>
  <c r="CM169" i="2"/>
  <c r="CL169" i="2"/>
  <c r="CK169" i="2"/>
  <c r="CJ169" i="2"/>
  <c r="CI169" i="2"/>
  <c r="CH169" i="2"/>
  <c r="CG169" i="2"/>
  <c r="CF169" i="2"/>
  <c r="CE169" i="2"/>
  <c r="CQ160" i="2"/>
  <c r="CP160" i="2"/>
  <c r="CO160" i="2"/>
  <c r="CN160" i="2"/>
  <c r="CM160" i="2"/>
  <c r="CL160" i="2"/>
  <c r="CK160" i="2"/>
  <c r="CJ160" i="2"/>
  <c r="CI160" i="2"/>
  <c r="CH160" i="2"/>
  <c r="CG160" i="2"/>
  <c r="CF160" i="2"/>
  <c r="CE160" i="2"/>
  <c r="CE156" i="2"/>
  <c r="CF156" i="2" s="1"/>
  <c r="CG156" i="2" s="1"/>
  <c r="CH156" i="2" s="1"/>
  <c r="CI156" i="2" s="1"/>
  <c r="CJ156" i="2" s="1"/>
  <c r="CE155" i="2"/>
  <c r="CF155" i="2" s="1"/>
  <c r="CG155" i="2" s="1"/>
  <c r="CH155" i="2" s="1"/>
  <c r="CI155" i="2" s="1"/>
  <c r="CJ155" i="2" s="1"/>
  <c r="CQ152" i="2"/>
  <c r="CP152" i="2"/>
  <c r="CO152" i="2"/>
  <c r="CN152" i="2"/>
  <c r="CL152" i="2"/>
  <c r="CK152" i="2"/>
  <c r="CJ152" i="2"/>
  <c r="CI152" i="2"/>
  <c r="CH152" i="2"/>
  <c r="BN152" i="2"/>
  <c r="BN151" i="2"/>
  <c r="CM149" i="2"/>
  <c r="CM148" i="2"/>
  <c r="BK141" i="2"/>
  <c r="BJ141" i="2"/>
  <c r="BK140" i="2"/>
  <c r="BJ140" i="2"/>
  <c r="BC118" i="2"/>
  <c r="BB118" i="2"/>
  <c r="BA118" i="2"/>
  <c r="AZ118" i="2"/>
  <c r="CQ118" i="2" s="1"/>
  <c r="AY118" i="2"/>
  <c r="AX118" i="2"/>
  <c r="AW118" i="2"/>
  <c r="AV118" i="2"/>
  <c r="CP118" i="2" s="1"/>
  <c r="AU118" i="2"/>
  <c r="AT118" i="2"/>
  <c r="AS118" i="2"/>
  <c r="AR118" i="2"/>
  <c r="CO118" i="2" s="1"/>
  <c r="AQ118" i="2"/>
  <c r="AP118" i="2"/>
  <c r="BV117" i="2"/>
  <c r="BV118" i="2" s="1"/>
  <c r="BU117" i="2"/>
  <c r="BT117" i="2"/>
  <c r="BS117" i="2"/>
  <c r="BR117" i="2"/>
  <c r="BQ117" i="2"/>
  <c r="BP117" i="2"/>
  <c r="BO117" i="2"/>
  <c r="BN117" i="2"/>
  <c r="BN118" i="2" s="1"/>
  <c r="BM117" i="2"/>
  <c r="BM118" i="2" s="1"/>
  <c r="BU116" i="2"/>
  <c r="BT116" i="2"/>
  <c r="BS116" i="2"/>
  <c r="BR116" i="2"/>
  <c r="BQ116" i="2"/>
  <c r="BP116" i="2"/>
  <c r="BO116" i="2"/>
  <c r="BN116" i="2"/>
  <c r="BM116" i="2"/>
  <c r="CI163" i="2" s="1"/>
  <c r="BK116" i="2"/>
  <c r="BJ116" i="2"/>
  <c r="CF163" i="2" s="1"/>
  <c r="BV115" i="2"/>
  <c r="BV140" i="2" s="1"/>
  <c r="BU115" i="2"/>
  <c r="BU140" i="2" s="1"/>
  <c r="BT115" i="2"/>
  <c r="BT140" i="2" s="1"/>
  <c r="BS115" i="2"/>
  <c r="BS140" i="2" s="1"/>
  <c r="BR115" i="2"/>
  <c r="BR140" i="2" s="1"/>
  <c r="BQ115" i="2"/>
  <c r="BQ140" i="2" s="1"/>
  <c r="BP115" i="2"/>
  <c r="BP140" i="2" s="1"/>
  <c r="BO115" i="2"/>
  <c r="BO140" i="2" s="1"/>
  <c r="BN115" i="2"/>
  <c r="BN140" i="2" s="1"/>
  <c r="BM115" i="2"/>
  <c r="BM140" i="2" s="1"/>
  <c r="CI140" i="2" s="1"/>
  <c r="BC115" i="2"/>
  <c r="BB115" i="2"/>
  <c r="BA115" i="2"/>
  <c r="AZ115" i="2"/>
  <c r="CQ115" i="2" s="1"/>
  <c r="AY115" i="2"/>
  <c r="AX115" i="2"/>
  <c r="AW115" i="2"/>
  <c r="AV115" i="2"/>
  <c r="CP115" i="2" s="1"/>
  <c r="AU115" i="2"/>
  <c r="AT115" i="2"/>
  <c r="AS115" i="2"/>
  <c r="AR115" i="2"/>
  <c r="CO115" i="2" s="1"/>
  <c r="AQ115" i="2"/>
  <c r="AP115" i="2"/>
  <c r="AO115" i="2"/>
  <c r="BN114" i="2"/>
  <c r="BM114" i="2"/>
  <c r="BK114" i="2"/>
  <c r="BJ114" i="2"/>
  <c r="BV113" i="2"/>
  <c r="BV122" i="2" s="1"/>
  <c r="BU113" i="2"/>
  <c r="BU122" i="2" s="1"/>
  <c r="BT113" i="2"/>
  <c r="BT122" i="2" s="1"/>
  <c r="BS113" i="2"/>
  <c r="BS122" i="2" s="1"/>
  <c r="BR113" i="2"/>
  <c r="BR122" i="2" s="1"/>
  <c r="BQ113" i="2"/>
  <c r="BQ122" i="2" s="1"/>
  <c r="BP113" i="2"/>
  <c r="BP122" i="2" s="1"/>
  <c r="BO113" i="2"/>
  <c r="BO122" i="2" s="1"/>
  <c r="BN113" i="2"/>
  <c r="BN122" i="2" s="1"/>
  <c r="BM113" i="2"/>
  <c r="BM122" i="2" s="1"/>
  <c r="CI122" i="2" s="1"/>
  <c r="BK113" i="2"/>
  <c r="BK122" i="2" s="1"/>
  <c r="BJ113" i="2"/>
  <c r="BJ122" i="2" s="1"/>
  <c r="BC113" i="2"/>
  <c r="BB113" i="2"/>
  <c r="BA113" i="2"/>
  <c r="AZ113" i="2"/>
  <c r="CQ113" i="2" s="1"/>
  <c r="AY113" i="2"/>
  <c r="AX113" i="2"/>
  <c r="AW113" i="2"/>
  <c r="AV113" i="2"/>
  <c r="CP113" i="2" s="1"/>
  <c r="AU113" i="2"/>
  <c r="AT113" i="2"/>
  <c r="AS113" i="2"/>
  <c r="AR113" i="2"/>
  <c r="CO113" i="2" s="1"/>
  <c r="AQ113" i="2"/>
  <c r="AP113" i="2"/>
  <c r="AO113" i="2"/>
  <c r="AM113" i="2"/>
  <c r="AL109" i="2"/>
  <c r="AL118" i="2" s="1"/>
  <c r="AK109" i="2"/>
  <c r="AK118" i="2" s="1"/>
  <c r="AJ109" i="2"/>
  <c r="AJ118" i="2" s="1"/>
  <c r="AI109" i="2"/>
  <c r="AI118" i="2" s="1"/>
  <c r="AH109" i="2"/>
  <c r="AH118" i="2" s="1"/>
  <c r="AG109" i="2"/>
  <c r="AG118" i="2" s="1"/>
  <c r="AF109" i="2"/>
  <c r="AF118" i="2" s="1"/>
  <c r="CL118" i="2" s="1"/>
  <c r="AE109" i="2"/>
  <c r="AE118" i="2" s="1"/>
  <c r="AD109" i="2"/>
  <c r="AD118" i="2" s="1"/>
  <c r="AC109" i="2"/>
  <c r="AC118" i="2" s="1"/>
  <c r="AB109" i="2"/>
  <c r="AB118" i="2" s="1"/>
  <c r="CK118" i="2" s="1"/>
  <c r="AA109" i="2"/>
  <c r="AA118" i="2" s="1"/>
  <c r="Z109" i="2"/>
  <c r="Z118" i="2" s="1"/>
  <c r="Y109" i="2"/>
  <c r="Y118" i="2" s="1"/>
  <c r="X109" i="2"/>
  <c r="X118" i="2" s="1"/>
  <c r="CJ118" i="2" s="1"/>
  <c r="CJ116" i="2" s="1"/>
  <c r="CJ163" i="2" s="1"/>
  <c r="AL106" i="2"/>
  <c r="AL115" i="2" s="1"/>
  <c r="AK106" i="2"/>
  <c r="AK115" i="2" s="1"/>
  <c r="AJ106" i="2"/>
  <c r="AJ115" i="2" s="1"/>
  <c r="AI106" i="2"/>
  <c r="AI115" i="2" s="1"/>
  <c r="AH106" i="2"/>
  <c r="AH115" i="2" s="1"/>
  <c r="AG106" i="2"/>
  <c r="AG115" i="2" s="1"/>
  <c r="AF106" i="2"/>
  <c r="AF115" i="2" s="1"/>
  <c r="CL115" i="2" s="1"/>
  <c r="AE106" i="2"/>
  <c r="AE115" i="2" s="1"/>
  <c r="AD106" i="2"/>
  <c r="AD115" i="2" s="1"/>
  <c r="AC106" i="2"/>
  <c r="AC115" i="2" s="1"/>
  <c r="AB106" i="2"/>
  <c r="AB115" i="2" s="1"/>
  <c r="CK115" i="2" s="1"/>
  <c r="AA106" i="2"/>
  <c r="AA115" i="2" s="1"/>
  <c r="Z106" i="2"/>
  <c r="Z115" i="2" s="1"/>
  <c r="Y106" i="2"/>
  <c r="Y115" i="2" s="1"/>
  <c r="X106" i="2"/>
  <c r="X115" i="2" s="1"/>
  <c r="CJ115" i="2" s="1"/>
  <c r="AL104" i="2"/>
  <c r="AL113" i="2" s="1"/>
  <c r="AL111" i="2" s="1"/>
  <c r="AK104" i="2"/>
  <c r="AK113" i="2" s="1"/>
  <c r="AK111" i="2" s="1"/>
  <c r="AJ104" i="2"/>
  <c r="AJ113" i="2" s="1"/>
  <c r="AI104" i="2"/>
  <c r="AI113" i="2" s="1"/>
  <c r="AI111" i="2" s="1"/>
  <c r="AH104" i="2"/>
  <c r="AH113" i="2" s="1"/>
  <c r="AH111" i="2" s="1"/>
  <c r="AG104" i="2"/>
  <c r="AG113" i="2" s="1"/>
  <c r="AG111" i="2" s="1"/>
  <c r="AF104" i="2"/>
  <c r="AF113" i="2" s="1"/>
  <c r="AE104" i="2"/>
  <c r="AE113" i="2" s="1"/>
  <c r="AE111" i="2" s="1"/>
  <c r="AD104" i="2"/>
  <c r="AD113" i="2" s="1"/>
  <c r="AD111" i="2" s="1"/>
  <c r="AC104" i="2"/>
  <c r="AC113" i="2" s="1"/>
  <c r="AC111" i="2" s="1"/>
  <c r="AB104" i="2"/>
  <c r="AB113" i="2" s="1"/>
  <c r="AA104" i="2"/>
  <c r="AA113" i="2" s="1"/>
  <c r="AA111" i="2" s="1"/>
  <c r="Z104" i="2"/>
  <c r="Z113" i="2" s="1"/>
  <c r="Z111" i="2" s="1"/>
  <c r="Y104" i="2"/>
  <c r="Y113" i="2" s="1"/>
  <c r="Y111" i="2" s="1"/>
  <c r="X104" i="2"/>
  <c r="X113" i="2" s="1"/>
  <c r="BV96" i="2"/>
  <c r="BV149" i="2" s="1"/>
  <c r="BU96" i="2"/>
  <c r="BU149" i="2" s="1"/>
  <c r="BT96" i="2"/>
  <c r="BT149" i="2" s="1"/>
  <c r="BS96" i="2"/>
  <c r="BS149" i="2" s="1"/>
  <c r="BR96" i="2"/>
  <c r="BR149" i="2" s="1"/>
  <c r="BQ96" i="2"/>
  <c r="BQ149" i="2" s="1"/>
  <c r="BP96" i="2"/>
  <c r="BP149" i="2" s="1"/>
  <c r="BO96" i="2"/>
  <c r="BO149" i="2" s="1"/>
  <c r="BN96" i="2"/>
  <c r="BN149" i="2" s="1"/>
  <c r="BM96" i="2"/>
  <c r="BM149" i="2" s="1"/>
  <c r="BL96" i="2"/>
  <c r="BK96" i="2"/>
  <c r="BK149" i="2" s="1"/>
  <c r="BL149" i="2" s="1"/>
  <c r="CG149" i="2" s="1"/>
  <c r="BJ96" i="2"/>
  <c r="BJ149" i="2" s="1"/>
  <c r="BV95" i="2"/>
  <c r="BV148" i="2" s="1"/>
  <c r="BU95" i="2"/>
  <c r="BU148" i="2" s="1"/>
  <c r="BT95" i="2"/>
  <c r="BT148" i="2" s="1"/>
  <c r="BS95" i="2"/>
  <c r="BS148" i="2" s="1"/>
  <c r="BR95" i="2"/>
  <c r="BR148" i="2" s="1"/>
  <c r="BQ95" i="2"/>
  <c r="BQ148" i="2" s="1"/>
  <c r="BP95" i="2"/>
  <c r="BP148" i="2" s="1"/>
  <c r="BO95" i="2"/>
  <c r="BO148" i="2" s="1"/>
  <c r="BN95" i="2"/>
  <c r="BN148" i="2" s="1"/>
  <c r="BM95" i="2"/>
  <c r="BM148" i="2" s="1"/>
  <c r="BK95" i="2"/>
  <c r="BK148" i="2" s="1"/>
  <c r="BL148" i="2" s="1"/>
  <c r="CG148" i="2" s="1"/>
  <c r="BJ95" i="2"/>
  <c r="BJ148" i="2" s="1"/>
  <c r="BV94" i="2"/>
  <c r="BU94" i="2"/>
  <c r="BT94" i="2"/>
  <c r="BS94" i="2"/>
  <c r="BR94" i="2"/>
  <c r="BQ94" i="2"/>
  <c r="BP94" i="2"/>
  <c r="BO94" i="2"/>
  <c r="BN94" i="2"/>
  <c r="BM94" i="2"/>
  <c r="BL94" i="2"/>
  <c r="BS92" i="2"/>
  <c r="BR92" i="2"/>
  <c r="BQ92" i="2"/>
  <c r="BP92" i="2"/>
  <c r="BO92" i="2"/>
  <c r="BN92" i="2"/>
  <c r="BM92" i="2"/>
  <c r="BL92" i="2"/>
  <c r="BK92" i="2"/>
  <c r="BJ92" i="2"/>
  <c r="BV91" i="2"/>
  <c r="BU91" i="2"/>
  <c r="BT91" i="2"/>
  <c r="BK91" i="2"/>
  <c r="BJ91" i="2"/>
  <c r="BV90" i="2"/>
  <c r="BV141" i="2" s="1"/>
  <c r="BU90" i="2"/>
  <c r="BU141" i="2" s="1"/>
  <c r="BT90" i="2"/>
  <c r="BT141" i="2" s="1"/>
  <c r="BS90" i="2"/>
  <c r="BS141" i="2" s="1"/>
  <c r="BR90" i="2"/>
  <c r="BR141" i="2" s="1"/>
  <c r="BQ90" i="2"/>
  <c r="BQ141" i="2" s="1"/>
  <c r="BP90" i="2"/>
  <c r="BP141" i="2" s="1"/>
  <c r="BO90" i="2"/>
  <c r="BO141" i="2" s="1"/>
  <c r="BN90" i="2"/>
  <c r="BN141" i="2" s="1"/>
  <c r="BM90" i="2"/>
  <c r="BM141" i="2" s="1"/>
  <c r="CI141" i="2" s="1"/>
  <c r="BK90" i="2"/>
  <c r="BJ90" i="2"/>
  <c r="BK89" i="2"/>
  <c r="BJ89" i="2"/>
  <c r="BN88" i="2"/>
  <c r="BM88" i="2"/>
  <c r="BL88" i="2"/>
  <c r="BK88" i="2"/>
  <c r="BJ88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V86" i="2"/>
  <c r="BV123" i="2" s="1"/>
  <c r="BU86" i="2"/>
  <c r="BU123" i="2" s="1"/>
  <c r="BT86" i="2"/>
  <c r="BT123" i="2" s="1"/>
  <c r="BS86" i="2"/>
  <c r="BS123" i="2" s="1"/>
  <c r="BR86" i="2"/>
  <c r="BR123" i="2" s="1"/>
  <c r="BQ86" i="2"/>
  <c r="BQ123" i="2" s="1"/>
  <c r="BP86" i="2"/>
  <c r="BP123" i="2" s="1"/>
  <c r="BO86" i="2"/>
  <c r="BO123" i="2" s="1"/>
  <c r="BN86" i="2"/>
  <c r="BN123" i="2" s="1"/>
  <c r="BM86" i="2"/>
  <c r="BM123" i="2" s="1"/>
  <c r="CI123" i="2" s="1"/>
  <c r="BK86" i="2"/>
  <c r="BK123" i="2" s="1"/>
  <c r="BJ86" i="2"/>
  <c r="BJ123" i="2" s="1"/>
  <c r="BC83" i="2"/>
  <c r="BB83" i="2"/>
  <c r="BA83" i="2"/>
  <c r="AZ83" i="2"/>
  <c r="AY83" i="2"/>
  <c r="AX83" i="2"/>
  <c r="AW83" i="2"/>
  <c r="AV83" i="2"/>
  <c r="AU83" i="2"/>
  <c r="AM83" i="2"/>
  <c r="AL83" i="2"/>
  <c r="AK83" i="2"/>
  <c r="AJ83" i="2"/>
  <c r="AI83" i="2"/>
  <c r="AH83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BC80" i="2"/>
  <c r="BC97" i="2" s="1"/>
  <c r="BC15" i="2" s="1"/>
  <c r="BB80" i="2"/>
  <c r="BB97" i="2" s="1"/>
  <c r="BB15" i="2" s="1"/>
  <c r="BA80" i="2"/>
  <c r="BA97" i="2" s="1"/>
  <c r="BA15" i="2" s="1"/>
  <c r="AZ80" i="2"/>
  <c r="AZ97" i="2" s="1"/>
  <c r="AY80" i="2"/>
  <c r="AY97" i="2" s="1"/>
  <c r="AY15" i="2" s="1"/>
  <c r="AX80" i="2"/>
  <c r="AX97" i="2" s="1"/>
  <c r="AX15" i="2" s="1"/>
  <c r="AW80" i="2"/>
  <c r="AW97" i="2" s="1"/>
  <c r="AW15" i="2" s="1"/>
  <c r="AV80" i="2"/>
  <c r="AV97" i="2" s="1"/>
  <c r="AU80" i="2"/>
  <c r="AU97" i="2" s="1"/>
  <c r="AU15" i="2" s="1"/>
  <c r="AT80" i="2"/>
  <c r="AT97" i="2" s="1"/>
  <c r="AT15" i="2" s="1"/>
  <c r="AS80" i="2"/>
  <c r="AS97" i="2" s="1"/>
  <c r="AS15" i="2" s="1"/>
  <c r="AR80" i="2"/>
  <c r="AR97" i="2" s="1"/>
  <c r="AQ80" i="2"/>
  <c r="AQ97" i="2" s="1"/>
  <c r="AQ15" i="2" s="1"/>
  <c r="AP80" i="2"/>
  <c r="AP97" i="2" s="1"/>
  <c r="AP15" i="2" s="1"/>
  <c r="AO80" i="2"/>
  <c r="AO97" i="2" s="1"/>
  <c r="AN80" i="2"/>
  <c r="AN97" i="2" s="1"/>
  <c r="AM80" i="2"/>
  <c r="AM97" i="2" s="1"/>
  <c r="AL80" i="2"/>
  <c r="AL97" i="2" s="1"/>
  <c r="AK80" i="2"/>
  <c r="AK97" i="2" s="1"/>
  <c r="AJ80" i="2"/>
  <c r="AJ97" i="2" s="1"/>
  <c r="AI80" i="2"/>
  <c r="AI97" i="2" s="1"/>
  <c r="AH80" i="2"/>
  <c r="AH97" i="2" s="1"/>
  <c r="AG80" i="2"/>
  <c r="AG97" i="2" s="1"/>
  <c r="AF80" i="2"/>
  <c r="AF97" i="2" s="1"/>
  <c r="AE80" i="2"/>
  <c r="AE97" i="2" s="1"/>
  <c r="AD80" i="2"/>
  <c r="AD97" i="2" s="1"/>
  <c r="AC80" i="2"/>
  <c r="AC97" i="2" s="1"/>
  <c r="AB80" i="2"/>
  <c r="AB97" i="2" s="1"/>
  <c r="AA80" i="2"/>
  <c r="AA97" i="2" s="1"/>
  <c r="Z80" i="2"/>
  <c r="Z97" i="2" s="1"/>
  <c r="Y80" i="2"/>
  <c r="Y97" i="2" s="1"/>
  <c r="X80" i="2"/>
  <c r="X97" i="2" s="1"/>
  <c r="CJ97" i="2" s="1"/>
  <c r="BC77" i="2"/>
  <c r="BC94" i="2" s="1"/>
  <c r="BC17" i="2" s="1"/>
  <c r="BB77" i="2"/>
  <c r="BB94" i="2" s="1"/>
  <c r="BB17" i="2" s="1"/>
  <c r="BA77" i="2"/>
  <c r="BA94" i="2" s="1"/>
  <c r="BA17" i="2" s="1"/>
  <c r="AZ77" i="2"/>
  <c r="AZ94" i="2" s="1"/>
  <c r="AY77" i="2"/>
  <c r="AY94" i="2" s="1"/>
  <c r="AY17" i="2" s="1"/>
  <c r="AX77" i="2"/>
  <c r="AX94" i="2" s="1"/>
  <c r="AX17" i="2" s="1"/>
  <c r="AW77" i="2"/>
  <c r="AW94" i="2" s="1"/>
  <c r="AW17" i="2" s="1"/>
  <c r="AV77" i="2"/>
  <c r="AV94" i="2" s="1"/>
  <c r="AU77" i="2"/>
  <c r="AU94" i="2" s="1"/>
  <c r="AU17" i="2" s="1"/>
  <c r="AT77" i="2"/>
  <c r="AT94" i="2" s="1"/>
  <c r="AT17" i="2" s="1"/>
  <c r="AS77" i="2"/>
  <c r="AS94" i="2" s="1"/>
  <c r="AS17" i="2" s="1"/>
  <c r="AR77" i="2"/>
  <c r="AR94" i="2" s="1"/>
  <c r="AQ77" i="2"/>
  <c r="AQ94" i="2" s="1"/>
  <c r="AQ17" i="2" s="1"/>
  <c r="AP77" i="2"/>
  <c r="AP94" i="2" s="1"/>
  <c r="AP17" i="2" s="1"/>
  <c r="AO77" i="2"/>
  <c r="AO94" i="2" s="1"/>
  <c r="AO17" i="2" s="1"/>
  <c r="AN77" i="2"/>
  <c r="AN94" i="2" s="1"/>
  <c r="AM77" i="2"/>
  <c r="AM94" i="2" s="1"/>
  <c r="AM17" i="2" s="1"/>
  <c r="AL77" i="2"/>
  <c r="AL94" i="2" s="1"/>
  <c r="AL17" i="2" s="1"/>
  <c r="AK77" i="2"/>
  <c r="AK94" i="2" s="1"/>
  <c r="AK17" i="2" s="1"/>
  <c r="AJ77" i="2"/>
  <c r="AJ94" i="2" s="1"/>
  <c r="AI77" i="2"/>
  <c r="AI94" i="2" s="1"/>
  <c r="AI17" i="2" s="1"/>
  <c r="AH77" i="2"/>
  <c r="AH94" i="2" s="1"/>
  <c r="AH17" i="2" s="1"/>
  <c r="AG77" i="2"/>
  <c r="AG94" i="2" s="1"/>
  <c r="AG17" i="2" s="1"/>
  <c r="AF77" i="2"/>
  <c r="AF94" i="2" s="1"/>
  <c r="AE77" i="2"/>
  <c r="AE94" i="2" s="1"/>
  <c r="AD77" i="2"/>
  <c r="AD94" i="2" s="1"/>
  <c r="AC77" i="2"/>
  <c r="AC94" i="2" s="1"/>
  <c r="AB77" i="2"/>
  <c r="AB94" i="2" s="1"/>
  <c r="CK94" i="2" s="1"/>
  <c r="AA77" i="2"/>
  <c r="AA94" i="2" s="1"/>
  <c r="Z77" i="2"/>
  <c r="Z94" i="2" s="1"/>
  <c r="Y77" i="2"/>
  <c r="Y94" i="2" s="1"/>
  <c r="X77" i="2"/>
  <c r="X94" i="2" s="1"/>
  <c r="CJ94" i="2" s="1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BC70" i="2"/>
  <c r="BC87" i="2" s="1"/>
  <c r="BC16" i="2" s="1"/>
  <c r="BB70" i="2"/>
  <c r="BB87" i="2" s="1"/>
  <c r="BB16" i="2" s="1"/>
  <c r="BA70" i="2"/>
  <c r="BA87" i="2" s="1"/>
  <c r="BA16" i="2" s="1"/>
  <c r="AZ70" i="2"/>
  <c r="AZ87" i="2" s="1"/>
  <c r="AY70" i="2"/>
  <c r="AY87" i="2" s="1"/>
  <c r="AY16" i="2" s="1"/>
  <c r="AX70" i="2"/>
  <c r="AX87" i="2" s="1"/>
  <c r="AX16" i="2" s="1"/>
  <c r="AW70" i="2"/>
  <c r="AW87" i="2" s="1"/>
  <c r="AW16" i="2" s="1"/>
  <c r="AV70" i="2"/>
  <c r="AV87" i="2" s="1"/>
  <c r="AU70" i="2"/>
  <c r="AU87" i="2" s="1"/>
  <c r="AU16" i="2" s="1"/>
  <c r="AT70" i="2"/>
  <c r="AT87" i="2" s="1"/>
  <c r="AT16" i="2" s="1"/>
  <c r="AS70" i="2"/>
  <c r="AS87" i="2" s="1"/>
  <c r="AS16" i="2" s="1"/>
  <c r="AR70" i="2"/>
  <c r="AR87" i="2" s="1"/>
  <c r="AQ70" i="2"/>
  <c r="AQ87" i="2" s="1"/>
  <c r="AQ16" i="2" s="1"/>
  <c r="AP70" i="2"/>
  <c r="AP87" i="2" s="1"/>
  <c r="AP16" i="2" s="1"/>
  <c r="AO70" i="2"/>
  <c r="AO87" i="2" s="1"/>
  <c r="AO16" i="2" s="1"/>
  <c r="AN70" i="2"/>
  <c r="AN87" i="2" s="1"/>
  <c r="AM70" i="2"/>
  <c r="AM87" i="2" s="1"/>
  <c r="AM16" i="2" s="1"/>
  <c r="AL70" i="2"/>
  <c r="AL87" i="2" s="1"/>
  <c r="AL16" i="2" s="1"/>
  <c r="AK70" i="2"/>
  <c r="AK87" i="2" s="1"/>
  <c r="AK16" i="2" s="1"/>
  <c r="AJ70" i="2"/>
  <c r="AJ87" i="2" s="1"/>
  <c r="AI70" i="2"/>
  <c r="AI87" i="2" s="1"/>
  <c r="AI16" i="2" s="1"/>
  <c r="AH70" i="2"/>
  <c r="AH87" i="2" s="1"/>
  <c r="AH16" i="2" s="1"/>
  <c r="AG70" i="2"/>
  <c r="AG87" i="2" s="1"/>
  <c r="AG16" i="2" s="1"/>
  <c r="AF70" i="2"/>
  <c r="AF87" i="2" s="1"/>
  <c r="AE70" i="2"/>
  <c r="AE87" i="2" s="1"/>
  <c r="AE16" i="2" s="1"/>
  <c r="AD70" i="2"/>
  <c r="AD87" i="2" s="1"/>
  <c r="AC70" i="2"/>
  <c r="AC87" i="2" s="1"/>
  <c r="AB70" i="2"/>
  <c r="AB87" i="2" s="1"/>
  <c r="CK87" i="2" s="1"/>
  <c r="AA70" i="2"/>
  <c r="AA87" i="2" s="1"/>
  <c r="Z70" i="2"/>
  <c r="Z87" i="2" s="1"/>
  <c r="Y70" i="2"/>
  <c r="Y87" i="2" s="1"/>
  <c r="X70" i="2"/>
  <c r="X87" i="2" s="1"/>
  <c r="CJ87" i="2" s="1"/>
  <c r="BG69" i="2"/>
  <c r="BG86" i="2" s="1"/>
  <c r="BF69" i="2"/>
  <c r="BF86" i="2" s="1"/>
  <c r="BE69" i="2"/>
  <c r="BE86" i="2" s="1"/>
  <c r="BD69" i="2"/>
  <c r="BD86" i="2" s="1"/>
  <c r="BC69" i="2"/>
  <c r="BC86" i="2" s="1"/>
  <c r="BC12" i="2" s="1"/>
  <c r="BB69" i="2"/>
  <c r="BB86" i="2" s="1"/>
  <c r="BB12" i="2" s="1"/>
  <c r="BA69" i="2"/>
  <c r="BA86" i="2" s="1"/>
  <c r="BA12" i="2" s="1"/>
  <c r="AZ69" i="2"/>
  <c r="AZ86" i="2" s="1"/>
  <c r="AY69" i="2"/>
  <c r="AY86" i="2" s="1"/>
  <c r="AY12" i="2" s="1"/>
  <c r="AX69" i="2"/>
  <c r="AX86" i="2" s="1"/>
  <c r="AX12" i="2" s="1"/>
  <c r="AW69" i="2"/>
  <c r="AW86" i="2" s="1"/>
  <c r="AW12" i="2" s="1"/>
  <c r="AV69" i="2"/>
  <c r="AV86" i="2" s="1"/>
  <c r="AU69" i="2"/>
  <c r="AU86" i="2" s="1"/>
  <c r="AU12" i="2" s="1"/>
  <c r="AT69" i="2"/>
  <c r="AT86" i="2" s="1"/>
  <c r="AT12" i="2" s="1"/>
  <c r="AS69" i="2"/>
  <c r="AS86" i="2" s="1"/>
  <c r="AS12" i="2" s="1"/>
  <c r="AR69" i="2"/>
  <c r="AR86" i="2" s="1"/>
  <c r="AQ69" i="2"/>
  <c r="AQ86" i="2" s="1"/>
  <c r="AQ12" i="2" s="1"/>
  <c r="AP69" i="2"/>
  <c r="AP86" i="2" s="1"/>
  <c r="AP12" i="2" s="1"/>
  <c r="AO69" i="2"/>
  <c r="AO86" i="2" s="1"/>
  <c r="AO12" i="2" s="1"/>
  <c r="AN69" i="2"/>
  <c r="AN86" i="2" s="1"/>
  <c r="AM69" i="2"/>
  <c r="AM86" i="2" s="1"/>
  <c r="AM12" i="2" s="1"/>
  <c r="AL69" i="2"/>
  <c r="AL86" i="2" s="1"/>
  <c r="AK69" i="2"/>
  <c r="AK86" i="2" s="1"/>
  <c r="AJ69" i="2"/>
  <c r="AJ86" i="2" s="1"/>
  <c r="AI69" i="2"/>
  <c r="AI86" i="2" s="1"/>
  <c r="AH69" i="2"/>
  <c r="AH86" i="2" s="1"/>
  <c r="AG69" i="2"/>
  <c r="AG86" i="2" s="1"/>
  <c r="AF69" i="2"/>
  <c r="AF86" i="2" s="1"/>
  <c r="AE69" i="2"/>
  <c r="AE86" i="2" s="1"/>
  <c r="AD69" i="2"/>
  <c r="AD86" i="2" s="1"/>
  <c r="AC69" i="2"/>
  <c r="AC86" i="2" s="1"/>
  <c r="AB69" i="2"/>
  <c r="AB86" i="2" s="1"/>
  <c r="AA69" i="2"/>
  <c r="AA86" i="2" s="1"/>
  <c r="Z69" i="2"/>
  <c r="Z86" i="2" s="1"/>
  <c r="Y69" i="2"/>
  <c r="Y86" i="2" s="1"/>
  <c r="X69" i="2"/>
  <c r="X86" i="2" s="1"/>
  <c r="CJ86" i="2" s="1"/>
  <c r="CM66" i="2"/>
  <c r="BS66" i="2"/>
  <c r="BR66" i="2"/>
  <c r="CN66" i="2" s="1"/>
  <c r="BQ66" i="2"/>
  <c r="BP66" i="2"/>
  <c r="CL66" i="2" s="1"/>
  <c r="BO66" i="2"/>
  <c r="CK66" i="2" s="1"/>
  <c r="BN66" i="2"/>
  <c r="CJ66" i="2" s="1"/>
  <c r="BM66" i="2"/>
  <c r="CI66" i="2" s="1"/>
  <c r="BL66" i="2"/>
  <c r="CH66" i="2" s="1"/>
  <c r="BK66" i="2"/>
  <c r="CG66" i="2" s="1"/>
  <c r="BJ66" i="2"/>
  <c r="CF66" i="2" s="1"/>
  <c r="BI66" i="2"/>
  <c r="CE66" i="2" s="1"/>
  <c r="BV65" i="2"/>
  <c r="BU65" i="2"/>
  <c r="CQ65" i="2" s="1"/>
  <c r="BT65" i="2"/>
  <c r="CP65" i="2" s="1"/>
  <c r="BS65" i="2"/>
  <c r="CO65" i="2" s="1"/>
  <c r="BK65" i="2"/>
  <c r="CF65" i="2" s="1"/>
  <c r="BJ65" i="2"/>
  <c r="BI65" i="2"/>
  <c r="CE65" i="2" s="1"/>
  <c r="BK64" i="2"/>
  <c r="CF64" i="2" s="1"/>
  <c r="BJ64" i="2"/>
  <c r="BI64" i="2"/>
  <c r="CE64" i="2" s="1"/>
  <c r="BV63" i="2"/>
  <c r="BU63" i="2"/>
  <c r="CQ63" i="2" s="1"/>
  <c r="BT63" i="2"/>
  <c r="CP63" i="2" s="1"/>
  <c r="BS63" i="2"/>
  <c r="CO63" i="2" s="1"/>
  <c r="BR63" i="2"/>
  <c r="CN63" i="2" s="1"/>
  <c r="CN128" i="2" s="1"/>
  <c r="BQ63" i="2"/>
  <c r="CM63" i="2" s="1"/>
  <c r="CM128" i="2" s="1"/>
  <c r="BP63" i="2"/>
  <c r="CL63" i="2" s="1"/>
  <c r="CL128" i="2" s="1"/>
  <c r="BO63" i="2"/>
  <c r="CK63" i="2" s="1"/>
  <c r="CK128" i="2" s="1"/>
  <c r="BN63" i="2"/>
  <c r="CJ63" i="2" s="1"/>
  <c r="CJ128" i="2" s="1"/>
  <c r="BM63" i="2"/>
  <c r="CI63" i="2" s="1"/>
  <c r="CI128" i="2" s="1"/>
  <c r="BL63" i="2"/>
  <c r="CH63" i="2" s="1"/>
  <c r="CH128" i="2" s="1"/>
  <c r="BK63" i="2"/>
  <c r="CG63" i="2" s="1"/>
  <c r="CG128" i="2" s="1"/>
  <c r="BJ63" i="2"/>
  <c r="CF63" i="2" s="1"/>
  <c r="CF128" i="2" s="1"/>
  <c r="BI63" i="2"/>
  <c r="CE63" i="2" s="1"/>
  <c r="CE128" i="2" s="1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V57" i="2"/>
  <c r="BU57" i="2"/>
  <c r="BT57" i="2"/>
  <c r="BS57" i="2"/>
  <c r="BR57" i="2"/>
  <c r="BQ57" i="2"/>
  <c r="BP57" i="2"/>
  <c r="BO57" i="2"/>
  <c r="BN57" i="2"/>
  <c r="BM57" i="2"/>
  <c r="BV56" i="2"/>
  <c r="BU56" i="2"/>
  <c r="BT56" i="2"/>
  <c r="BS56" i="2"/>
  <c r="BR56" i="2"/>
  <c r="BQ56" i="2"/>
  <c r="BP56" i="2"/>
  <c r="BO56" i="2"/>
  <c r="BN56" i="2"/>
  <c r="BM56" i="2"/>
  <c r="CI56" i="2" s="1"/>
  <c r="BK56" i="2"/>
  <c r="BJ56" i="2"/>
  <c r="CF56" i="2" s="1"/>
  <c r="BV55" i="2"/>
  <c r="BU55" i="2"/>
  <c r="BT55" i="2"/>
  <c r="BS55" i="2"/>
  <c r="BR55" i="2"/>
  <c r="BQ55" i="2"/>
  <c r="BP55" i="2"/>
  <c r="BO55" i="2"/>
  <c r="BN55" i="2"/>
  <c r="BM55" i="2"/>
  <c r="CI55" i="2" s="1"/>
  <c r="BK55" i="2"/>
  <c r="BJ55" i="2"/>
  <c r="CF55" i="2" s="1"/>
  <c r="BS54" i="2"/>
  <c r="BR54" i="2"/>
  <c r="BQ54" i="2"/>
  <c r="BP54" i="2"/>
  <c r="BO54" i="2"/>
  <c r="BN54" i="2"/>
  <c r="BM54" i="2"/>
  <c r="CI54" i="2" s="1"/>
  <c r="BK54" i="2"/>
  <c r="BJ54" i="2"/>
  <c r="CF54" i="2" s="1"/>
  <c r="CI53" i="2"/>
  <c r="BV53" i="2"/>
  <c r="BU53" i="2"/>
  <c r="BT53" i="2"/>
  <c r="BK53" i="2"/>
  <c r="BJ53" i="2"/>
  <c r="CF53" i="2" s="1"/>
  <c r="BV52" i="2"/>
  <c r="BU52" i="2"/>
  <c r="BT52" i="2"/>
  <c r="BS52" i="2"/>
  <c r="BR52" i="2"/>
  <c r="BQ52" i="2"/>
  <c r="BP52" i="2"/>
  <c r="BO52" i="2"/>
  <c r="BN52" i="2"/>
  <c r="BM52" i="2"/>
  <c r="CI52" i="2" s="1"/>
  <c r="BK52" i="2"/>
  <c r="BJ52" i="2"/>
  <c r="CF52" i="2" s="1"/>
  <c r="BK51" i="2"/>
  <c r="BJ51" i="2"/>
  <c r="CF51" i="2" s="1"/>
  <c r="BN50" i="2"/>
  <c r="BM50" i="2"/>
  <c r="CI50" i="2" s="1"/>
  <c r="BK50" i="2"/>
  <c r="BJ50" i="2"/>
  <c r="CF50" i="2" s="1"/>
  <c r="BN49" i="2"/>
  <c r="BM49" i="2"/>
  <c r="CI49" i="2" s="1"/>
  <c r="BK49" i="2"/>
  <c r="BJ49" i="2"/>
  <c r="CF49" i="2" s="1"/>
  <c r="BV48" i="2"/>
  <c r="BU48" i="2"/>
  <c r="BT48" i="2"/>
  <c r="BS48" i="2"/>
  <c r="BR48" i="2"/>
  <c r="BQ48" i="2"/>
  <c r="BP48" i="2"/>
  <c r="BO48" i="2"/>
  <c r="BN48" i="2"/>
  <c r="BM48" i="2"/>
  <c r="CI48" i="2" s="1"/>
  <c r="BK48" i="2"/>
  <c r="BJ48" i="2"/>
  <c r="CF48" i="2" s="1"/>
  <c r="BV47" i="2"/>
  <c r="BU47" i="2"/>
  <c r="BT47" i="2"/>
  <c r="BS47" i="2"/>
  <c r="BR47" i="2"/>
  <c r="BQ47" i="2"/>
  <c r="BP47" i="2"/>
  <c r="BO47" i="2"/>
  <c r="BN47" i="2"/>
  <c r="BM47" i="2"/>
  <c r="CI47" i="2" s="1"/>
  <c r="BK47" i="2"/>
  <c r="BJ47" i="2"/>
  <c r="CF47" i="2" s="1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BG41" i="2"/>
  <c r="BG111" i="2" s="1"/>
  <c r="BF41" i="2"/>
  <c r="BF111" i="2" s="1"/>
  <c r="BE41" i="2"/>
  <c r="BE111" i="2" s="1"/>
  <c r="BD41" i="2"/>
  <c r="BD111" i="2" s="1"/>
  <c r="BC41" i="2"/>
  <c r="BC111" i="2" s="1"/>
  <c r="BB41" i="2"/>
  <c r="BB111" i="2" s="1"/>
  <c r="BA41" i="2"/>
  <c r="BA111" i="2" s="1"/>
  <c r="AZ41" i="2"/>
  <c r="AZ111" i="2" s="1"/>
  <c r="AY41" i="2"/>
  <c r="AY111" i="2" s="1"/>
  <c r="AX41" i="2"/>
  <c r="AX111" i="2" s="1"/>
  <c r="AW41" i="2"/>
  <c r="AW111" i="2" s="1"/>
  <c r="AV41" i="2"/>
  <c r="AV111" i="2" s="1"/>
  <c r="AU41" i="2"/>
  <c r="AU111" i="2" s="1"/>
  <c r="AT41" i="2"/>
  <c r="AT111" i="2" s="1"/>
  <c r="AS41" i="2"/>
  <c r="AS111" i="2" s="1"/>
  <c r="AR41" i="2"/>
  <c r="AR111" i="2" s="1"/>
  <c r="AQ41" i="2"/>
  <c r="AQ111" i="2" s="1"/>
  <c r="AP41" i="2"/>
  <c r="AP111" i="2" s="1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BV30" i="2"/>
  <c r="BU30" i="2"/>
  <c r="BT30" i="2"/>
  <c r="BS30" i="2"/>
  <c r="BR30" i="2"/>
  <c r="BQ30" i="2"/>
  <c r="BP30" i="2"/>
  <c r="BO30" i="2"/>
  <c r="BN30" i="2"/>
  <c r="BM30" i="2"/>
  <c r="BK30" i="2"/>
  <c r="BJ30" i="2"/>
  <c r="CF30" i="2" s="1"/>
  <c r="BV29" i="2"/>
  <c r="BU29" i="2"/>
  <c r="BT29" i="2"/>
  <c r="BS29" i="2"/>
  <c r="BR29" i="2"/>
  <c r="BN29" i="2"/>
  <c r="BM29" i="2"/>
  <c r="BK29" i="2"/>
  <c r="BJ29" i="2"/>
  <c r="CO28" i="2"/>
  <c r="BV28" i="2"/>
  <c r="BU28" i="2"/>
  <c r="CQ28" i="2" s="1"/>
  <c r="BT28" i="2"/>
  <c r="CP28" i="2" s="1"/>
  <c r="BS28" i="2"/>
  <c r="BR28" i="2"/>
  <c r="CN28" i="2" s="1"/>
  <c r="BQ28" i="2"/>
  <c r="BP28" i="2"/>
  <c r="BO28" i="2"/>
  <c r="BN28" i="2"/>
  <c r="BM28" i="2"/>
  <c r="BK28" i="2"/>
  <c r="BJ28" i="2"/>
  <c r="CQ25" i="2"/>
  <c r="CQ30" i="2" s="1"/>
  <c r="CP25" i="2"/>
  <c r="CP30" i="2" s="1"/>
  <c r="CO25" i="2"/>
  <c r="CO30" i="2" s="1"/>
  <c r="CN25" i="2"/>
  <c r="CN30" i="2" s="1"/>
  <c r="CL25" i="2"/>
  <c r="CL30" i="2" s="1"/>
  <c r="CK25" i="2"/>
  <c r="CK30" i="2" s="1"/>
  <c r="CJ25" i="2"/>
  <c r="CJ30" i="2" s="1"/>
  <c r="CI25" i="2"/>
  <c r="CI30" i="2" s="1"/>
  <c r="CH25" i="2"/>
  <c r="CH30" i="2" s="1"/>
  <c r="CM24" i="2"/>
  <c r="CL24" i="2"/>
  <c r="CK24" i="2"/>
  <c r="CJ24" i="2"/>
  <c r="CI24" i="2"/>
  <c r="CH24" i="2"/>
  <c r="BG21" i="2"/>
  <c r="BG110" i="2" s="1"/>
  <c r="BF21" i="2"/>
  <c r="BF110" i="2" s="1"/>
  <c r="BE21" i="2"/>
  <c r="BE110" i="2" s="1"/>
  <c r="BD21" i="2"/>
  <c r="BD110" i="2" s="1"/>
  <c r="BC21" i="2"/>
  <c r="BC110" i="2" s="1"/>
  <c r="BB21" i="2"/>
  <c r="BB110" i="2" s="1"/>
  <c r="BA21" i="2"/>
  <c r="BA110" i="2" s="1"/>
  <c r="AZ21" i="2"/>
  <c r="AY21" i="2"/>
  <c r="AY110" i="2" s="1"/>
  <c r="AX21" i="2"/>
  <c r="AX110" i="2" s="1"/>
  <c r="AW21" i="2"/>
  <c r="AW110" i="2" s="1"/>
  <c r="AV21" i="2"/>
  <c r="AU21" i="2"/>
  <c r="AU110" i="2" s="1"/>
  <c r="AT21" i="2"/>
  <c r="AT110" i="2" s="1"/>
  <c r="AS21" i="2"/>
  <c r="AS110" i="2" s="1"/>
  <c r="AR21" i="2"/>
  <c r="AQ21" i="2"/>
  <c r="AQ110" i="2" s="1"/>
  <c r="AP21" i="2"/>
  <c r="AP110" i="2" s="1"/>
  <c r="AO21" i="2"/>
  <c r="AO110" i="2" s="1"/>
  <c r="AN21" i="2"/>
  <c r="AM21" i="2"/>
  <c r="AM110" i="2" s="1"/>
  <c r="AL21" i="2"/>
  <c r="AL110" i="2" s="1"/>
  <c r="AK21" i="2"/>
  <c r="AK110" i="2" s="1"/>
  <c r="AJ21" i="2"/>
  <c r="AI21" i="2"/>
  <c r="AI110" i="2" s="1"/>
  <c r="AH21" i="2"/>
  <c r="AH110" i="2" s="1"/>
  <c r="AG21" i="2"/>
  <c r="AG110" i="2" s="1"/>
  <c r="AF21" i="2"/>
  <c r="AE21" i="2"/>
  <c r="AE110" i="2" s="1"/>
  <c r="AD21" i="2"/>
  <c r="AD110" i="2" s="1"/>
  <c r="AC21" i="2"/>
  <c r="AC110" i="2" s="1"/>
  <c r="AB21" i="2"/>
  <c r="AA21" i="2"/>
  <c r="AA110" i="2" s="1"/>
  <c r="Z21" i="2"/>
  <c r="Z110" i="2" s="1"/>
  <c r="Y21" i="2"/>
  <c r="Y110" i="2" s="1"/>
  <c r="X21" i="2"/>
  <c r="F21" i="2"/>
  <c r="E21" i="2"/>
  <c r="D21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W19" i="2"/>
  <c r="W21" i="2" s="1"/>
  <c r="V19" i="2"/>
  <c r="V21" i="2" s="1"/>
  <c r="U19" i="2"/>
  <c r="U21" i="2" s="1"/>
  <c r="T19" i="2"/>
  <c r="T21" i="2" s="1"/>
  <c r="CI21" i="2" s="1"/>
  <c r="S19" i="2"/>
  <c r="S21" i="2" s="1"/>
  <c r="R19" i="2"/>
  <c r="R21" i="2" s="1"/>
  <c r="Q19" i="2"/>
  <c r="Q21" i="2" s="1"/>
  <c r="P19" i="2"/>
  <c r="P21" i="2" s="1"/>
  <c r="CH21" i="2" s="1"/>
  <c r="O19" i="2"/>
  <c r="O21" i="2" s="1"/>
  <c r="N19" i="2"/>
  <c r="N21" i="2" s="1"/>
  <c r="M19" i="2"/>
  <c r="M21" i="2" s="1"/>
  <c r="L19" i="2"/>
  <c r="L21" i="2" s="1"/>
  <c r="CG21" i="2" s="1"/>
  <c r="K19" i="2"/>
  <c r="K21" i="2" s="1"/>
  <c r="J19" i="2"/>
  <c r="J21" i="2" s="1"/>
  <c r="I19" i="2"/>
  <c r="I21" i="2" s="1"/>
  <c r="H19" i="2"/>
  <c r="H21" i="2" s="1"/>
  <c r="CF21" i="2" s="1"/>
  <c r="G19" i="2"/>
  <c r="G21" i="2" s="1"/>
  <c r="CK17" i="2"/>
  <c r="AE17" i="2"/>
  <c r="AD17" i="2"/>
  <c r="AC17" i="2"/>
  <c r="AB17" i="2"/>
  <c r="AA17" i="2"/>
  <c r="Z17" i="2"/>
  <c r="Y17" i="2"/>
  <c r="X17" i="2"/>
  <c r="CJ17" i="2" s="1"/>
  <c r="W17" i="2"/>
  <c r="V17" i="2"/>
  <c r="U17" i="2"/>
  <c r="T17" i="2"/>
  <c r="CI17" i="2" s="1"/>
  <c r="S17" i="2"/>
  <c r="R17" i="2"/>
  <c r="Q17" i="2"/>
  <c r="P17" i="2"/>
  <c r="CH17" i="2" s="1"/>
  <c r="CE16" i="2"/>
  <c r="BX16" i="2"/>
  <c r="AD16" i="2"/>
  <c r="AC16" i="2"/>
  <c r="AB16" i="2"/>
  <c r="CK16" i="2" s="1"/>
  <c r="AA16" i="2"/>
  <c r="Z16" i="2"/>
  <c r="Y16" i="2"/>
  <c r="X16" i="2"/>
  <c r="CJ16" i="2" s="1"/>
  <c r="W16" i="2"/>
  <c r="V16" i="2"/>
  <c r="U16" i="2"/>
  <c r="T16" i="2"/>
  <c r="CI16" i="2" s="1"/>
  <c r="S16" i="2"/>
  <c r="R16" i="2"/>
  <c r="Q16" i="2"/>
  <c r="P16" i="2"/>
  <c r="CH16" i="2" s="1"/>
  <c r="O16" i="2"/>
  <c r="N16" i="2"/>
  <c r="M16" i="2"/>
  <c r="L16" i="2"/>
  <c r="CG16" i="2" s="1"/>
  <c r="K16" i="2"/>
  <c r="J16" i="2"/>
  <c r="I16" i="2"/>
  <c r="H16" i="2"/>
  <c r="CF16" i="2" s="1"/>
  <c r="BX15" i="2"/>
  <c r="CE15" i="2" s="1"/>
  <c r="AA15" i="2"/>
  <c r="Z15" i="2"/>
  <c r="Y15" i="2"/>
  <c r="X15" i="2"/>
  <c r="CJ15" i="2" s="1"/>
  <c r="CJ151" i="2" s="1"/>
  <c r="W15" i="2"/>
  <c r="V15" i="2"/>
  <c r="U15" i="2"/>
  <c r="T15" i="2"/>
  <c r="CI15" i="2" s="1"/>
  <c r="CI151" i="2" s="1"/>
  <c r="S15" i="2"/>
  <c r="R15" i="2"/>
  <c r="Q15" i="2"/>
  <c r="P15" i="2"/>
  <c r="CH15" i="2" s="1"/>
  <c r="CH151" i="2" s="1"/>
  <c r="O15" i="2"/>
  <c r="N15" i="2"/>
  <c r="M15" i="2"/>
  <c r="L15" i="2"/>
  <c r="CG15" i="2" s="1"/>
  <c r="K15" i="2"/>
  <c r="J15" i="2"/>
  <c r="I15" i="2"/>
  <c r="H15" i="2"/>
  <c r="CF15" i="2" s="1"/>
  <c r="BX14" i="2"/>
  <c r="CE14" i="2" s="1"/>
  <c r="V14" i="2"/>
  <c r="U14" i="2"/>
  <c r="T14" i="2"/>
  <c r="S14" i="2"/>
  <c r="R14" i="2"/>
  <c r="Q14" i="2"/>
  <c r="P14" i="2"/>
  <c r="CH14" i="2" s="1"/>
  <c r="O14" i="2"/>
  <c r="N14" i="2"/>
  <c r="M14" i="2"/>
  <c r="L14" i="2"/>
  <c r="CG14" i="2" s="1"/>
  <c r="K14" i="2"/>
  <c r="J14" i="2"/>
  <c r="I14" i="2"/>
  <c r="H14" i="2"/>
  <c r="CF14" i="2" s="1"/>
  <c r="CI13" i="2"/>
  <c r="BX13" i="2"/>
  <c r="CE13" i="2" s="1"/>
  <c r="W13" i="2"/>
  <c r="V13" i="2"/>
  <c r="U13" i="2"/>
  <c r="T13" i="2"/>
  <c r="S13" i="2"/>
  <c r="R13" i="2"/>
  <c r="Q13" i="2"/>
  <c r="P13" i="2"/>
  <c r="CH13" i="2" s="1"/>
  <c r="O13" i="2"/>
  <c r="N13" i="2"/>
  <c r="M13" i="2"/>
  <c r="L13" i="2"/>
  <c r="CG13" i="2" s="1"/>
  <c r="K13" i="2"/>
  <c r="J13" i="2"/>
  <c r="I13" i="2"/>
  <c r="H13" i="2"/>
  <c r="CF13" i="2" s="1"/>
  <c r="BX12" i="2"/>
  <c r="CE12" i="2" s="1"/>
  <c r="AA12" i="2"/>
  <c r="Z12" i="2"/>
  <c r="Y12" i="2"/>
  <c r="X12" i="2"/>
  <c r="CJ12" i="2" s="1"/>
  <c r="CJ28" i="2" s="1"/>
  <c r="W12" i="2"/>
  <c r="V12" i="2"/>
  <c r="U12" i="2"/>
  <c r="T12" i="2"/>
  <c r="CI12" i="2" s="1"/>
  <c r="CI28" i="2" s="1"/>
  <c r="S12" i="2"/>
  <c r="R12" i="2"/>
  <c r="Q12" i="2"/>
  <c r="P12" i="2"/>
  <c r="CH12" i="2" s="1"/>
  <c r="CH28" i="2" s="1"/>
  <c r="O12" i="2"/>
  <c r="N12" i="2"/>
  <c r="M12" i="2"/>
  <c r="L12" i="2"/>
  <c r="CG12" i="2" s="1"/>
  <c r="K12" i="2"/>
  <c r="J12" i="2"/>
  <c r="I12" i="2"/>
  <c r="H12" i="2"/>
  <c r="CF12" i="2" s="1"/>
  <c r="BX11" i="2"/>
  <c r="CE11" i="2" s="1"/>
  <c r="W11" i="2"/>
  <c r="V11" i="2"/>
  <c r="U11" i="2"/>
  <c r="T11" i="2"/>
  <c r="CI11" i="2" s="1"/>
  <c r="S11" i="2"/>
  <c r="R11" i="2"/>
  <c r="Q11" i="2"/>
  <c r="P11" i="2"/>
  <c r="CH11" i="2" s="1"/>
  <c r="O11" i="2"/>
  <c r="N11" i="2"/>
  <c r="M11" i="2"/>
  <c r="L11" i="2"/>
  <c r="CG11" i="2" s="1"/>
  <c r="K11" i="2"/>
  <c r="J11" i="2"/>
  <c r="I11" i="2"/>
  <c r="H11" i="2"/>
  <c r="CF11" i="2" s="1"/>
  <c r="CE10" i="2"/>
  <c r="BX10" i="2"/>
  <c r="W10" i="2"/>
  <c r="V10" i="2"/>
  <c r="U10" i="2"/>
  <c r="T10" i="2"/>
  <c r="CI10" i="2" s="1"/>
  <c r="S10" i="2"/>
  <c r="R10" i="2"/>
  <c r="Q10" i="2"/>
  <c r="P10" i="2"/>
  <c r="CH10" i="2" s="1"/>
  <c r="O10" i="2"/>
  <c r="N10" i="2"/>
  <c r="M10" i="2"/>
  <c r="L10" i="2"/>
  <c r="CG10" i="2" s="1"/>
  <c r="K10" i="2"/>
  <c r="J10" i="2"/>
  <c r="I10" i="2"/>
  <c r="H10" i="2"/>
  <c r="CF10" i="2" s="1"/>
  <c r="CF23" i="2" s="1"/>
  <c r="BK36" i="3" l="1"/>
  <c r="BK37" i="3"/>
  <c r="BK31" i="3"/>
  <c r="BK32" i="3" s="1"/>
  <c r="BH24" i="3"/>
  <c r="BG24" i="3"/>
  <c r="BF24" i="3"/>
  <c r="BE24" i="3"/>
  <c r="BD24" i="3"/>
  <c r="BC24" i="3"/>
  <c r="BO24" i="3"/>
  <c r="BN24" i="3"/>
  <c r="BM24" i="3"/>
  <c r="BL24" i="3"/>
  <c r="BK24" i="3"/>
  <c r="BJ24" i="3"/>
  <c r="BI24" i="3"/>
  <c r="CN220" i="2"/>
  <c r="CO220" i="2"/>
  <c r="CG219" i="2"/>
  <c r="CG221" i="2" s="1"/>
  <c r="CG224" i="2" s="1"/>
  <c r="CH219" i="2"/>
  <c r="CH221" i="2" s="1"/>
  <c r="CQ221" i="2"/>
  <c r="CQ224" i="2" s="1"/>
  <c r="CP221" i="2"/>
  <c r="CP224" i="2"/>
  <c r="CO221" i="2"/>
  <c r="CO226" i="2" s="1"/>
  <c r="CO224" i="2"/>
  <c r="CN221" i="2"/>
  <c r="CN226" i="2" s="1"/>
  <c r="CN224" i="2"/>
  <c r="CM221" i="2"/>
  <c r="CM226" i="2" s="1"/>
  <c r="CM224" i="2"/>
  <c r="CM225" i="2" s="1"/>
  <c r="CL221" i="2"/>
  <c r="CL226" i="2" s="1"/>
  <c r="CL224" i="2"/>
  <c r="CL225" i="2" s="1"/>
  <c r="CK221" i="2"/>
  <c r="CK226" i="2" s="1"/>
  <c r="CJ221" i="2"/>
  <c r="CJ226" i="2" s="1"/>
  <c r="CI221" i="2"/>
  <c r="CI226" i="2" s="1"/>
  <c r="CF221" i="2"/>
  <c r="CF226" i="2" s="1"/>
  <c r="CE221" i="2"/>
  <c r="CE226" i="2" s="1"/>
  <c r="BN204" i="2"/>
  <c r="CJ196" i="2"/>
  <c r="BS203" i="2"/>
  <c r="BR203" i="2"/>
  <c r="BQ203" i="2"/>
  <c r="BP203" i="2"/>
  <c r="BO203" i="2"/>
  <c r="CJ195" i="2"/>
  <c r="BN203" i="2"/>
  <c r="BS202" i="2"/>
  <c r="BR202" i="2"/>
  <c r="BQ202" i="2"/>
  <c r="BP202" i="2"/>
  <c r="BO202" i="2"/>
  <c r="CJ194" i="2"/>
  <c r="BN202" i="2"/>
  <c r="BS201" i="2"/>
  <c r="BR201" i="2"/>
  <c r="BQ201" i="2"/>
  <c r="BP201" i="2"/>
  <c r="BO201" i="2"/>
  <c r="BN201" i="2"/>
  <c r="CF141" i="2"/>
  <c r="CE141" i="2"/>
  <c r="BL141" i="2"/>
  <c r="CE140" i="2"/>
  <c r="CF140" i="2"/>
  <c r="BU118" i="2"/>
  <c r="CQ117" i="2"/>
  <c r="BT118" i="2"/>
  <c r="CP117" i="2"/>
  <c r="BS118" i="2"/>
  <c r="CO117" i="2"/>
  <c r="CN117" i="2"/>
  <c r="CN157" i="2" s="1"/>
  <c r="BR118" i="2"/>
  <c r="BQ118" i="2"/>
  <c r="CM117" i="2"/>
  <c r="CL117" i="2"/>
  <c r="BP118" i="2"/>
  <c r="BO118" i="2"/>
  <c r="CK117" i="2"/>
  <c r="CI182" i="2"/>
  <c r="BL122" i="2"/>
  <c r="CE122" i="2"/>
  <c r="CF122" i="2"/>
  <c r="CJ182" i="2"/>
  <c r="CM113" i="2"/>
  <c r="AJ111" i="2"/>
  <c r="AF111" i="2"/>
  <c r="CL113" i="2"/>
  <c r="AB111" i="2"/>
  <c r="CK113" i="2"/>
  <c r="CJ113" i="2"/>
  <c r="CJ122" i="2" s="1"/>
  <c r="X111" i="2"/>
  <c r="CE149" i="2"/>
  <c r="CF149" i="2"/>
  <c r="CE148" i="2"/>
  <c r="CF148" i="2"/>
  <c r="CI142" i="2"/>
  <c r="CI143" i="2"/>
  <c r="CI144" i="2" s="1"/>
  <c r="CI124" i="2"/>
  <c r="CI125" i="2"/>
  <c r="BL123" i="2"/>
  <c r="CE123" i="2"/>
  <c r="CF123" i="2"/>
  <c r="AT83" i="2"/>
  <c r="AS83" i="2"/>
  <c r="AR83" i="2"/>
  <c r="AQ83" i="2"/>
  <c r="AP83" i="2"/>
  <c r="AO83" i="2"/>
  <c r="AN83" i="2"/>
  <c r="AG83" i="2"/>
  <c r="AF83" i="2"/>
  <c r="AE83" i="2"/>
  <c r="AD83" i="2"/>
  <c r="AC83" i="2"/>
  <c r="AB83" i="2"/>
  <c r="AA83" i="2"/>
  <c r="Z83" i="2"/>
  <c r="Y83" i="2"/>
  <c r="X83" i="2"/>
  <c r="AZ15" i="2"/>
  <c r="CQ15" i="2" s="1"/>
  <c r="CQ151" i="2" s="1"/>
  <c r="CQ97" i="2"/>
  <c r="CP97" i="2"/>
  <c r="AV15" i="2"/>
  <c r="CP15" i="2" s="1"/>
  <c r="CP151" i="2" s="1"/>
  <c r="AR15" i="2"/>
  <c r="CO15" i="2" s="1"/>
  <c r="CO151" i="2" s="1"/>
  <c r="CO97" i="2"/>
  <c r="CN97" i="2"/>
  <c r="CM97" i="2"/>
  <c r="AJ15" i="2"/>
  <c r="CL97" i="2"/>
  <c r="AF15" i="2"/>
  <c r="CL15" i="2" s="1"/>
  <c r="CL151" i="2" s="1"/>
  <c r="CK97" i="2"/>
  <c r="AB15" i="2"/>
  <c r="CK15" i="2" s="1"/>
  <c r="CK151" i="2" s="1"/>
  <c r="CQ94" i="2"/>
  <c r="AZ17" i="2"/>
  <c r="CQ17" i="2" s="1"/>
  <c r="CP94" i="2"/>
  <c r="AV17" i="2"/>
  <c r="CP17" i="2" s="1"/>
  <c r="AR17" i="2"/>
  <c r="CO17" i="2" s="1"/>
  <c r="CO94" i="2"/>
  <c r="CN94" i="2"/>
  <c r="AN17" i="2"/>
  <c r="CN17" i="2" s="1"/>
  <c r="CM94" i="2"/>
  <c r="AJ17" i="2"/>
  <c r="AF17" i="2"/>
  <c r="CL94" i="2"/>
  <c r="CQ87" i="2"/>
  <c r="AZ16" i="2"/>
  <c r="CQ16" i="2" s="1"/>
  <c r="CP87" i="2"/>
  <c r="AV16" i="2"/>
  <c r="CP16" i="2" s="1"/>
  <c r="CO87" i="2"/>
  <c r="AR16" i="2"/>
  <c r="CO16" i="2" s="1"/>
  <c r="AN16" i="2"/>
  <c r="CN16" i="2" s="1"/>
  <c r="CN87" i="2"/>
  <c r="CM87" i="2"/>
  <c r="AJ16" i="2"/>
  <c r="CL87" i="2"/>
  <c r="AF16" i="2"/>
  <c r="AZ12" i="2"/>
  <c r="CQ12" i="2" s="1"/>
  <c r="CQ122" i="2" s="1"/>
  <c r="CQ86" i="2"/>
  <c r="CQ123" i="2" s="1"/>
  <c r="AV12" i="2"/>
  <c r="CP12" i="2" s="1"/>
  <c r="CP122" i="2" s="1"/>
  <c r="CP86" i="2"/>
  <c r="CP123" i="2" s="1"/>
  <c r="CO86" i="2"/>
  <c r="AR12" i="2"/>
  <c r="CO12" i="2" s="1"/>
  <c r="CO122" i="2" s="1"/>
  <c r="CN86" i="2"/>
  <c r="AJ12" i="2"/>
  <c r="CM86" i="2"/>
  <c r="CM123" i="2" s="1"/>
  <c r="AF12" i="2"/>
  <c r="CL86" i="2"/>
  <c r="CL123" i="2" s="1"/>
  <c r="CK86" i="2"/>
  <c r="AB12" i="2"/>
  <c r="CQ128" i="2"/>
  <c r="CQ131" i="2" s="1"/>
  <c r="CQ129" i="2"/>
  <c r="CP128" i="2"/>
  <c r="CP131" i="2" s="1"/>
  <c r="CP129" i="2"/>
  <c r="CO128" i="2"/>
  <c r="CO131" i="2" s="1"/>
  <c r="CO129" i="2"/>
  <c r="CI161" i="2"/>
  <c r="CI170" i="2"/>
  <c r="CF161" i="2"/>
  <c r="CF170" i="2"/>
  <c r="CQ21" i="2"/>
  <c r="AZ110" i="2"/>
  <c r="AV110" i="2"/>
  <c r="CP21" i="2"/>
  <c r="CO21" i="2"/>
  <c r="AR110" i="2"/>
  <c r="CN21" i="2"/>
  <c r="AN110" i="2"/>
  <c r="CM21" i="2"/>
  <c r="AJ110" i="2"/>
  <c r="CL21" i="2"/>
  <c r="AF110" i="2"/>
  <c r="CK21" i="2"/>
  <c r="AB110" i="2"/>
  <c r="X110" i="2"/>
  <c r="CJ21" i="2"/>
  <c r="CE151" i="2"/>
  <c r="CE152" i="2"/>
  <c r="CJ161" i="2"/>
  <c r="CJ148" i="2"/>
  <c r="CJ149" i="2" s="1"/>
  <c r="CI171" i="2"/>
  <c r="CI148" i="2"/>
  <c r="CI149" i="2" s="1"/>
  <c r="CH148" i="2"/>
  <c r="CH149" i="2" s="1"/>
  <c r="CG151" i="2"/>
  <c r="CG152" i="2"/>
  <c r="CF151" i="2"/>
  <c r="CF152" i="2"/>
  <c r="CE134" i="2"/>
  <c r="CE135" i="2"/>
  <c r="CE136" i="2"/>
  <c r="CI134" i="2"/>
  <c r="CI135" i="2"/>
  <c r="CH134" i="2"/>
  <c r="CH135" i="2"/>
  <c r="CG134" i="2"/>
  <c r="CG135" i="2"/>
  <c r="CF134" i="2"/>
  <c r="CF135" i="2"/>
  <c r="CF136" i="2"/>
  <c r="AN113" i="2"/>
  <c r="AN12" i="2" s="1"/>
  <c r="CN12" i="2" s="1"/>
  <c r="AM118" i="2"/>
  <c r="AM115" i="2"/>
  <c r="AL15" i="2"/>
  <c r="AK15" i="2"/>
  <c r="AI15" i="2"/>
  <c r="AH15" i="2"/>
  <c r="AG15" i="2"/>
  <c r="AE15" i="2"/>
  <c r="AD15" i="2"/>
  <c r="AC15" i="2"/>
  <c r="AL12" i="2"/>
  <c r="CO193" i="2" s="1"/>
  <c r="AK12" i="2"/>
  <c r="CN193" i="2" s="1"/>
  <c r="AI12" i="2"/>
  <c r="AH12" i="2"/>
  <c r="AG12" i="2"/>
  <c r="AE12" i="2"/>
  <c r="AD12" i="2"/>
  <c r="AC12" i="2"/>
  <c r="CJ123" i="2"/>
  <c r="CM129" i="2"/>
  <c r="CN129" i="2"/>
  <c r="CL129" i="2"/>
  <c r="CK129" i="2"/>
  <c r="CJ129" i="2"/>
  <c r="CI129" i="2"/>
  <c r="CH129" i="2"/>
  <c r="CG129" i="2"/>
  <c r="CF129" i="2"/>
  <c r="CF130" i="2"/>
  <c r="CE130" i="2"/>
  <c r="CE129" i="2"/>
  <c r="CE21" i="2"/>
  <c r="CQ225" i="2" l="1"/>
  <c r="CQ226" i="2"/>
  <c r="CP226" i="2"/>
  <c r="CP225" i="2"/>
  <c r="CF142" i="2"/>
  <c r="CF143" i="2"/>
  <c r="CF144" i="2" s="1"/>
  <c r="CE142" i="2"/>
  <c r="CE143" i="2"/>
  <c r="CG141" i="2"/>
  <c r="CH141" i="2"/>
  <c r="BL140" i="2"/>
  <c r="CQ116" i="2"/>
  <c r="CQ163" i="2" s="1"/>
  <c r="CQ157" i="2"/>
  <c r="CP116" i="2"/>
  <c r="CP163" i="2" s="1"/>
  <c r="CP157" i="2"/>
  <c r="CO116" i="2"/>
  <c r="CO163" i="2" s="1"/>
  <c r="CO157" i="2"/>
  <c r="CL116" i="2"/>
  <c r="CL163" i="2" s="1"/>
  <c r="CL157" i="2"/>
  <c r="CK116" i="2"/>
  <c r="CK163" i="2" s="1"/>
  <c r="CK157" i="2"/>
  <c r="CG122" i="2"/>
  <c r="CH122" i="2"/>
  <c r="CG123" i="2"/>
  <c r="CH123" i="2"/>
  <c r="CE124" i="2"/>
  <c r="CE125" i="2"/>
  <c r="CF124" i="2"/>
  <c r="CF125" i="2"/>
  <c r="CQ148" i="2"/>
  <c r="CQ149" i="2" s="1"/>
  <c r="CP148" i="2"/>
  <c r="CP149" i="2" s="1"/>
  <c r="CO148" i="2"/>
  <c r="CO149" i="2" s="1"/>
  <c r="CL148" i="2"/>
  <c r="CL149" i="2" s="1"/>
  <c r="CK161" i="2"/>
  <c r="CL161" i="2" s="1"/>
  <c r="CK148" i="2"/>
  <c r="CK149" i="2" s="1"/>
  <c r="CQ124" i="2"/>
  <c r="CQ125" i="2"/>
  <c r="CP124" i="2"/>
  <c r="CP125" i="2"/>
  <c r="CM124" i="2"/>
  <c r="CM125" i="2"/>
  <c r="CL124" i="2"/>
  <c r="CL125" i="2"/>
  <c r="CE161" i="2"/>
  <c r="CI172" i="2"/>
  <c r="CJ172" i="2" s="1"/>
  <c r="CK172" i="2" s="1"/>
  <c r="CL172" i="2" s="1"/>
  <c r="CM172" i="2" s="1"/>
  <c r="CN172" i="2" s="1"/>
  <c r="CO172" i="2" s="1"/>
  <c r="CP172" i="2" s="1"/>
  <c r="CQ172" i="2" s="1"/>
  <c r="CI173" i="2"/>
  <c r="CI180" i="2" s="1"/>
  <c r="CI174" i="2"/>
  <c r="CI181" i="2" s="1"/>
  <c r="CG161" i="2"/>
  <c r="CN113" i="2"/>
  <c r="CN122" i="2" s="1"/>
  <c r="AM15" i="2"/>
  <c r="CM15" i="2" s="1"/>
  <c r="CM118" i="2"/>
  <c r="CM116" i="2" s="1"/>
  <c r="CM163" i="2" s="1"/>
  <c r="AN118" i="2"/>
  <c r="AN115" i="2"/>
  <c r="AM111" i="2"/>
  <c r="CM115" i="2"/>
  <c r="CJ125" i="2"/>
  <c r="CJ124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AF93" i="2"/>
  <c r="AG93" i="2"/>
  <c r="AH93" i="2"/>
  <c r="AI93" i="2"/>
  <c r="AB93" i="2"/>
  <c r="AC93" i="2"/>
  <c r="AD93" i="2"/>
  <c r="AE93" i="2"/>
  <c r="X93" i="2"/>
  <c r="Y93" i="2"/>
  <c r="Z93" i="2"/>
  <c r="AA93" i="2"/>
  <c r="CO225" i="2"/>
  <c r="CG226" i="2"/>
  <c r="CG225" i="2" s="1"/>
  <c r="CO123" i="2"/>
  <c r="CN123" i="2"/>
  <c r="CN225" i="2"/>
  <c r="CH226" i="2"/>
  <c r="CH224" i="2"/>
  <c r="CH225" i="2" s="1"/>
  <c r="CJ224" i="2"/>
  <c r="CJ225" i="2" s="1"/>
  <c r="CI224" i="2"/>
  <c r="CI225" i="2" s="1"/>
  <c r="CF224" i="2"/>
  <c r="CF225" i="2" s="1"/>
  <c r="CE224" i="2"/>
  <c r="CE225" i="2" s="1"/>
  <c r="CK224" i="2"/>
  <c r="CK225" i="2" s="1"/>
  <c r="CN155" i="2"/>
  <c r="CN156" i="2"/>
  <c r="CM17" i="2"/>
  <c r="CO194" i="2"/>
  <c r="CM194" i="2"/>
  <c r="CN194" i="2"/>
  <c r="CL17" i="2"/>
  <c r="CL194" i="2"/>
  <c r="CK194" i="2"/>
  <c r="CM16" i="2"/>
  <c r="CM195" i="2"/>
  <c r="CN195" i="2"/>
  <c r="CO195" i="2"/>
  <c r="CL16" i="2"/>
  <c r="CK195" i="2"/>
  <c r="CL195" i="2"/>
  <c r="CM12" i="2"/>
  <c r="CM193" i="2"/>
  <c r="CL12" i="2"/>
  <c r="CL193" i="2"/>
  <c r="CK12" i="2"/>
  <c r="CK193" i="2"/>
  <c r="CJ193" i="2"/>
  <c r="CI162" i="2"/>
  <c r="BG25" i="3"/>
  <c r="BG26" i="3" s="1"/>
  <c r="CF162" i="2"/>
  <c r="BD25" i="3"/>
  <c r="BD26" i="3" s="1"/>
  <c r="CJ162" i="2"/>
  <c r="CF171" i="2"/>
  <c r="CF182" i="2"/>
  <c r="CG143" i="2" l="1"/>
  <c r="CG142" i="2"/>
  <c r="CH142" i="2"/>
  <c r="CH143" i="2"/>
  <c r="CG140" i="2"/>
  <c r="CH140" i="2"/>
  <c r="CQ182" i="2"/>
  <c r="CQ155" i="2"/>
  <c r="CQ156" i="2"/>
  <c r="CP182" i="2"/>
  <c r="CP155" i="2"/>
  <c r="CP156" i="2"/>
  <c r="CO182" i="2"/>
  <c r="CO155" i="2"/>
  <c r="CO156" i="2"/>
  <c r="CL182" i="2"/>
  <c r="CL155" i="2"/>
  <c r="CL156" i="2"/>
  <c r="CK182" i="2"/>
  <c r="CK155" i="2"/>
  <c r="CK156" i="2"/>
  <c r="CG125" i="2"/>
  <c r="CG124" i="2"/>
  <c r="CH124" i="2"/>
  <c r="CH125" i="2"/>
  <c r="CL162" i="2"/>
  <c r="CL165" i="2" s="1"/>
  <c r="CL166" i="2" s="1"/>
  <c r="CK162" i="2"/>
  <c r="CK165" i="2" s="1"/>
  <c r="CK166" i="2" s="1"/>
  <c r="CE162" i="2"/>
  <c r="CH161" i="2"/>
  <c r="CG162" i="2"/>
  <c r="CM152" i="2"/>
  <c r="CM157" i="2" s="1"/>
  <c r="CM151" i="2"/>
  <c r="CM182" i="2" s="1"/>
  <c r="AN15" i="2"/>
  <c r="AO118" i="2"/>
  <c r="CN118" i="2" s="1"/>
  <c r="CN116" i="2" s="1"/>
  <c r="CN163" i="2" s="1"/>
  <c r="AJ100" i="2"/>
  <c r="AJ99" i="2"/>
  <c r="AJ11" i="2"/>
  <c r="CM93" i="2"/>
  <c r="AK99" i="2"/>
  <c r="AK100" i="2"/>
  <c r="AK11" i="2"/>
  <c r="AL99" i="2"/>
  <c r="AL100" i="2"/>
  <c r="AL11" i="2"/>
  <c r="AM100" i="2"/>
  <c r="AM99" i="2"/>
  <c r="AM11" i="2"/>
  <c r="AN99" i="2"/>
  <c r="AN100" i="2"/>
  <c r="AN11" i="2"/>
  <c r="CN93" i="2"/>
  <c r="AO99" i="2"/>
  <c r="AO100" i="2"/>
  <c r="AO11" i="2"/>
  <c r="AP99" i="2"/>
  <c r="AP100" i="2"/>
  <c r="AP11" i="2"/>
  <c r="AQ99" i="2"/>
  <c r="AQ100" i="2"/>
  <c r="AQ11" i="2"/>
  <c r="AR99" i="2"/>
  <c r="AR100" i="2"/>
  <c r="CO93" i="2"/>
  <c r="AR11" i="2"/>
  <c r="AS99" i="2"/>
  <c r="AS100" i="2"/>
  <c r="AS11" i="2"/>
  <c r="AT99" i="2"/>
  <c r="AT100" i="2"/>
  <c r="AT11" i="2"/>
  <c r="AU99" i="2"/>
  <c r="AU100" i="2"/>
  <c r="AU11" i="2"/>
  <c r="AV100" i="2"/>
  <c r="AV99" i="2"/>
  <c r="CP93" i="2"/>
  <c r="AV11" i="2"/>
  <c r="CP11" i="2" s="1"/>
  <c r="AW99" i="2"/>
  <c r="AW100" i="2"/>
  <c r="AW11" i="2"/>
  <c r="AX99" i="2"/>
  <c r="AX100" i="2"/>
  <c r="AX11" i="2"/>
  <c r="AY99" i="2"/>
  <c r="AY100" i="2"/>
  <c r="AY11" i="2"/>
  <c r="AZ99" i="2"/>
  <c r="CQ99" i="2" s="1"/>
  <c r="CQ82" i="2" s="1"/>
  <c r="AZ100" i="2"/>
  <c r="CQ100" i="2" s="1"/>
  <c r="CQ83" i="2" s="1"/>
  <c r="AZ11" i="2"/>
  <c r="CQ93" i="2"/>
  <c r="BA100" i="2"/>
  <c r="BA99" i="2"/>
  <c r="BA11" i="2"/>
  <c r="BB100" i="2"/>
  <c r="BB99" i="2"/>
  <c r="BB11" i="2"/>
  <c r="BC100" i="2"/>
  <c r="BC99" i="2"/>
  <c r="BC11" i="2"/>
  <c r="AF99" i="2"/>
  <c r="AF100" i="2"/>
  <c r="CL100" i="2" s="1"/>
  <c r="CL83" i="2" s="1"/>
  <c r="AF11" i="2"/>
  <c r="CL93" i="2"/>
  <c r="AG99" i="2"/>
  <c r="AG100" i="2"/>
  <c r="AG11" i="2"/>
  <c r="AH100" i="2"/>
  <c r="AH99" i="2"/>
  <c r="AH11" i="2"/>
  <c r="AI99" i="2"/>
  <c r="AI100" i="2"/>
  <c r="AI11" i="2"/>
  <c r="AB99" i="2"/>
  <c r="AB100" i="2"/>
  <c r="CK93" i="2"/>
  <c r="AB11" i="2"/>
  <c r="AC99" i="2"/>
  <c r="AC100" i="2"/>
  <c r="AC11" i="2"/>
  <c r="AD100" i="2"/>
  <c r="AD99" i="2"/>
  <c r="AD11" i="2"/>
  <c r="AE99" i="2"/>
  <c r="AE100" i="2"/>
  <c r="AE11" i="2"/>
  <c r="X100" i="2"/>
  <c r="X99" i="2"/>
  <c r="CJ93" i="2"/>
  <c r="X11" i="2"/>
  <c r="CJ11" i="2" s="1"/>
  <c r="Y99" i="2"/>
  <c r="Y100" i="2"/>
  <c r="Y11" i="2"/>
  <c r="Z99" i="2"/>
  <c r="Z100" i="2"/>
  <c r="Z11" i="2"/>
  <c r="AA99" i="2"/>
  <c r="AA100" i="2"/>
  <c r="AA11" i="2"/>
  <c r="CO125" i="2"/>
  <c r="CO124" i="2"/>
  <c r="CN125" i="2"/>
  <c r="CN124" i="2"/>
  <c r="CM122" i="2"/>
  <c r="CM28" i="2"/>
  <c r="CL122" i="2"/>
  <c r="CL28" i="2"/>
  <c r="CK123" i="2"/>
  <c r="CK122" i="2"/>
  <c r="CK28" i="2"/>
  <c r="CI165" i="2"/>
  <c r="CI166" i="2" s="1"/>
  <c r="CI164" i="2"/>
  <c r="CF165" i="2"/>
  <c r="CF164" i="2"/>
  <c r="CJ171" i="2"/>
  <c r="CJ165" i="2"/>
  <c r="CJ166" i="2" s="1"/>
  <c r="CJ164" i="2"/>
  <c r="CF173" i="2"/>
  <c r="CF172" i="2"/>
  <c r="CE144" i="2"/>
  <c r="CN115" i="2"/>
  <c r="AN111" i="2"/>
  <c r="CL171" i="2" l="1"/>
  <c r="CL164" i="2"/>
  <c r="CK171" i="2"/>
  <c r="CK164" i="2"/>
  <c r="CE171" i="2"/>
  <c r="CH162" i="2"/>
  <c r="CG171" i="2"/>
  <c r="CG163" i="2"/>
  <c r="CG182" i="2" s="1"/>
  <c r="CG164" i="2"/>
  <c r="CM155" i="2"/>
  <c r="CM156" i="2"/>
  <c r="CM161" i="2"/>
  <c r="AO111" i="2"/>
  <c r="AO15" i="2"/>
  <c r="CN15" i="2" s="1"/>
  <c r="CN151" i="2" s="1"/>
  <c r="CN182" i="2" s="1"/>
  <c r="CP134" i="2"/>
  <c r="CP140" i="2" s="1"/>
  <c r="CP141" i="2" s="1"/>
  <c r="CP137" i="2"/>
  <c r="CJ134" i="2"/>
  <c r="CJ140" i="2" s="1"/>
  <c r="CJ141" i="2" s="1"/>
  <c r="CJ135" i="2"/>
  <c r="CK125" i="2"/>
  <c r="CK124" i="2"/>
  <c r="CE165" i="2"/>
  <c r="CF166" i="2"/>
  <c r="CH165" i="2"/>
  <c r="CH166" i="2" s="1"/>
  <c r="CG165" i="2"/>
  <c r="CG166" i="2" s="1"/>
  <c r="CJ170" i="2"/>
  <c r="CJ173" i="2"/>
  <c r="CG172" i="2"/>
  <c r="CH172" i="2" s="1"/>
  <c r="CE172" i="2"/>
  <c r="CG144" i="2"/>
  <c r="CH144" i="2"/>
  <c r="CM100" i="2"/>
  <c r="CM83" i="2" s="1"/>
  <c r="CM11" i="2"/>
  <c r="CN99" i="2"/>
  <c r="CN82" i="2" s="1"/>
  <c r="CN11" i="2"/>
  <c r="CL11" i="2"/>
  <c r="CK100" i="2"/>
  <c r="CK83" i="2" s="1"/>
  <c r="CK11" i="2"/>
  <c r="CJ100" i="2"/>
  <c r="CJ83" i="2" s="1"/>
  <c r="CM99" i="2"/>
  <c r="CM82" i="2" s="1"/>
  <c r="CN100" i="2"/>
  <c r="CN83" i="2" s="1"/>
  <c r="CK99" i="2"/>
  <c r="CK82" i="2" s="1"/>
  <c r="CJ99" i="2"/>
  <c r="CJ82" i="2" s="1"/>
  <c r="CO99" i="2"/>
  <c r="CO82" i="2" s="1"/>
  <c r="CO100" i="2"/>
  <c r="CO83" i="2" s="1"/>
  <c r="CO11" i="2"/>
  <c r="CP100" i="2"/>
  <c r="CP83" i="2" s="1"/>
  <c r="CP99" i="2"/>
  <c r="CP82" i="2" s="1"/>
  <c r="CQ11" i="2"/>
  <c r="CL99" i="2"/>
  <c r="CL82" i="2" s="1"/>
  <c r="CF180" i="2"/>
  <c r="CF174" i="2"/>
  <c r="CF181" i="2" s="1"/>
  <c r="CL170" i="2" l="1"/>
  <c r="BJ25" i="3" s="1"/>
  <c r="BJ26" i="3" s="1"/>
  <c r="CL173" i="2"/>
  <c r="CK170" i="2"/>
  <c r="BI25" i="3" s="1"/>
  <c r="BI26" i="3" s="1"/>
  <c r="CK173" i="2"/>
  <c r="CE170" i="2"/>
  <c r="BC25" i="3" s="1"/>
  <c r="BC26" i="3" s="1"/>
  <c r="CE173" i="2"/>
  <c r="CE174" i="2" s="1"/>
  <c r="CE181" i="2" s="1"/>
  <c r="CH163" i="2"/>
  <c r="CH171" i="2"/>
  <c r="CG170" i="2"/>
  <c r="BE25" i="3" s="1"/>
  <c r="BE26" i="3" s="1"/>
  <c r="CG173" i="2"/>
  <c r="CM162" i="2"/>
  <c r="CN161" i="2"/>
  <c r="CN148" i="2"/>
  <c r="CN149" i="2" s="1"/>
  <c r="CO161" i="2"/>
  <c r="CP143" i="2"/>
  <c r="CP144" i="2" s="1"/>
  <c r="CP142" i="2"/>
  <c r="CJ143" i="2"/>
  <c r="CJ142" i="2"/>
  <c r="CE166" i="2"/>
  <c r="CE163" i="2"/>
  <c r="CJ186" i="2"/>
  <c r="CJ187" i="2" s="1"/>
  <c r="BH25" i="3"/>
  <c r="BH26" i="3" s="1"/>
  <c r="CM135" i="2"/>
  <c r="CM134" i="2"/>
  <c r="CM140" i="2" s="1"/>
  <c r="CM141" i="2" s="1"/>
  <c r="CN135" i="2"/>
  <c r="CN134" i="2"/>
  <c r="CN140" i="2" s="1"/>
  <c r="CN141" i="2" s="1"/>
  <c r="CL135" i="2"/>
  <c r="CL134" i="2"/>
  <c r="CL140" i="2" s="1"/>
  <c r="CL141" i="2" s="1"/>
  <c r="CK135" i="2"/>
  <c r="CK134" i="2"/>
  <c r="CK140" i="2" s="1"/>
  <c r="CK141" i="2" s="1"/>
  <c r="CO137" i="2"/>
  <c r="CO134" i="2"/>
  <c r="CO140" i="2" s="1"/>
  <c r="CO141" i="2" s="1"/>
  <c r="CQ137" i="2"/>
  <c r="CQ134" i="2"/>
  <c r="CQ140" i="2" s="1"/>
  <c r="CQ141" i="2" s="1"/>
  <c r="CJ180" i="2"/>
  <c r="CJ174" i="2"/>
  <c r="CJ181" i="2" s="1"/>
  <c r="CH170" i="2" l="1"/>
  <c r="BF25" i="3" s="1"/>
  <c r="BF26" i="3" s="1"/>
  <c r="CH173" i="2"/>
  <c r="CM171" i="2"/>
  <c r="CM165" i="2"/>
  <c r="CM166" i="2" s="1"/>
  <c r="CM164" i="2"/>
  <c r="CN162" i="2"/>
  <c r="CO162" i="2"/>
  <c r="CP161" i="2"/>
  <c r="CE164" i="2"/>
  <c r="CE180" i="2" s="1"/>
  <c r="CE182" i="2"/>
  <c r="CM142" i="2"/>
  <c r="CM143" i="2"/>
  <c r="CM144" i="2" s="1"/>
  <c r="CN143" i="2"/>
  <c r="CN142" i="2"/>
  <c r="CL143" i="2"/>
  <c r="CL142" i="2"/>
  <c r="CK143" i="2"/>
  <c r="CK142" i="2"/>
  <c r="CO143" i="2"/>
  <c r="CO144" i="2" s="1"/>
  <c r="CO142" i="2"/>
  <c r="CQ143" i="2"/>
  <c r="CQ142" i="2"/>
  <c r="CJ144" i="2"/>
  <c r="CL180" i="2"/>
  <c r="CL174" i="2"/>
  <c r="CL181" i="2" s="1"/>
  <c r="CK180" i="2"/>
  <c r="CK174" i="2"/>
  <c r="CK181" i="2" s="1"/>
  <c r="CH182" i="2"/>
  <c r="CH164" i="2"/>
  <c r="CG180" i="2"/>
  <c r="CG174" i="2"/>
  <c r="CG181" i="2" s="1"/>
  <c r="CM170" i="2" l="1"/>
  <c r="BK25" i="3" s="1"/>
  <c r="BK26" i="3" s="1"/>
  <c r="CM173" i="2"/>
  <c r="CN171" i="2"/>
  <c r="CN165" i="2"/>
  <c r="CN166" i="2" s="1"/>
  <c r="CN164" i="2"/>
  <c r="CO165" i="2"/>
  <c r="CO166" i="2" s="1"/>
  <c r="CO171" i="2"/>
  <c r="CO164" i="2"/>
  <c r="CP162" i="2"/>
  <c r="CQ161" i="2"/>
  <c r="CN144" i="2"/>
  <c r="CL144" i="2"/>
  <c r="CK144" i="2"/>
  <c r="CQ144" i="2"/>
  <c r="CH180" i="2"/>
  <c r="CH174" i="2"/>
  <c r="CH181" i="2" s="1"/>
  <c r="CN170" i="2" l="1"/>
  <c r="BL25" i="3" s="1"/>
  <c r="BL26" i="3" s="1"/>
  <c r="CN173" i="2"/>
  <c r="CO170" i="2"/>
  <c r="BM25" i="3" s="1"/>
  <c r="BM26" i="3" s="1"/>
  <c r="CO173" i="2"/>
  <c r="CP165" i="2"/>
  <c r="CP166" i="2" s="1"/>
  <c r="CP171" i="2"/>
  <c r="CP164" i="2"/>
  <c r="CQ162" i="2"/>
  <c r="CM180" i="2"/>
  <c r="CM174" i="2"/>
  <c r="CM181" i="2" s="1"/>
  <c r="CP170" i="2" l="1"/>
  <c r="BN25" i="3" s="1"/>
  <c r="BN26" i="3" s="1"/>
  <c r="CP173" i="2"/>
  <c r="CQ165" i="2"/>
  <c r="CQ166" i="2" s="1"/>
  <c r="CQ171" i="2"/>
  <c r="CQ164" i="2"/>
  <c r="CN180" i="2"/>
  <c r="CN174" i="2"/>
  <c r="CN181" i="2" s="1"/>
  <c r="CO180" i="2"/>
  <c r="CO174" i="2"/>
  <c r="CO181" i="2" s="1"/>
  <c r="CQ170" i="2" l="1"/>
  <c r="BO25" i="3" s="1"/>
  <c r="BO26" i="3" s="1"/>
  <c r="CQ173" i="2"/>
  <c r="CP180" i="2"/>
  <c r="CP174" i="2"/>
  <c r="CP181" i="2" s="1"/>
  <c r="CQ180" i="2" l="1"/>
  <c r="CQ174" i="2"/>
  <c r="CQ18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Himanshu Sahni</author>
  </authors>
  <commentList>
    <comment ref="BT90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Himanshu Sahni:
Includes PCI</t>
        </r>
      </text>
    </comment>
    <comment ref="BT9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Himanshu Sahni:
Only PCI</t>
        </r>
      </text>
    </comment>
    <comment ref="BT96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Himanshu Sahni:
Includes PCI</t>
        </r>
      </text>
    </comment>
  </commentList>
</comments>
</file>

<file path=xl/sharedStrings.xml><?xml version="1.0" encoding="utf-8"?>
<sst xmlns="http://schemas.openxmlformats.org/spreadsheetml/2006/main" count="2810" uniqueCount="522">
  <si>
    <t>Anglo American Coal - Various Operations</t>
  </si>
  <si>
    <t>Color Legend</t>
  </si>
  <si>
    <t>Sourced datapoint</t>
  </si>
  <si>
    <t>Calculation</t>
  </si>
  <si>
    <t>Assumption</t>
  </si>
  <si>
    <t>Quarterly Production</t>
  </si>
  <si>
    <t>CY Production (100%)</t>
  </si>
  <si>
    <t>Source</t>
  </si>
  <si>
    <t>Unit</t>
  </si>
  <si>
    <t>Anglo's Share (%)</t>
  </si>
  <si>
    <t>Q1</t>
  </si>
  <si>
    <t>Q2</t>
  </si>
  <si>
    <t>Q3</t>
  </si>
  <si>
    <t>Q4</t>
  </si>
  <si>
    <t>FY2012
2011-2012</t>
  </si>
  <si>
    <t>FY2013
2012-2013</t>
  </si>
  <si>
    <t>FY2014
2013-2014</t>
  </si>
  <si>
    <t>FY2015
2014-2015</t>
  </si>
  <si>
    <t>FY2016
2015-2016</t>
  </si>
  <si>
    <t>FY2017
2016-2017</t>
  </si>
  <si>
    <t>FY2018
2017-2018</t>
  </si>
  <si>
    <t>FY2019
2018-2019</t>
  </si>
  <si>
    <t>FY2020
2019-2020</t>
  </si>
  <si>
    <t>FY2021
2020-2021</t>
  </si>
  <si>
    <t>FY2022
2021-2022</t>
  </si>
  <si>
    <t>FY2023
2022-2023</t>
  </si>
  <si>
    <t>FY2024
2023-2024</t>
  </si>
  <si>
    <t>FY2025
2024-2025</t>
  </si>
  <si>
    <t>Comment/Description</t>
  </si>
  <si>
    <t>Anglo Share(%)</t>
  </si>
  <si>
    <t>Capacity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</si>
  <si>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</si>
  <si>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</si>
  <si>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</si>
  <si>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</si>
  <si>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</si>
  <si>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</si>
  <si>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</si>
  <si>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</si>
  <si>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</si>
  <si>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</si>
  <si>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</si>
  <si>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</si>
  <si>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</si>
  <si>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</si>
  <si>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</si>
  <si>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</si>
  <si>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</si>
  <si>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</si>
  <si>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</si>
  <si>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</si>
  <si>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</si>
  <si>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</si>
  <si>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</si>
  <si>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</si>
  <si>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</si>
  <si>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</si>
  <si>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</si>
  <si>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</si>
  <si>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</si>
  <si>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</si>
  <si>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</si>
  <si>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</si>
  <si>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</si>
  <si>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</si>
  <si>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</si>
  <si>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</si>
  <si>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</si>
  <si>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</si>
  <si>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</si>
  <si>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</si>
  <si>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</si>
  <si>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</si>
  <si>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</si>
  <si>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</si>
  <si>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</si>
  <si>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</si>
  <si>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</si>
  <si>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</si>
  <si>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</si>
  <si>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</si>
  <si>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</si>
  <si>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</si>
  <si>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Coal production - Mine Level</t>
  </si>
  <si>
    <t>Callide</t>
  </si>
  <si>
    <t>Mt</t>
  </si>
  <si>
    <t>Total production on 100% basis. Sold end of 2016</t>
  </si>
  <si>
    <t>MLCCI-1639775051-8792</t>
  </si>
  <si>
    <t>MLCCI-6-1114</t>
  </si>
  <si>
    <t>MLCCI-1639775051-92906</t>
  </si>
  <si>
    <t>MLCCI-991351766-5109</t>
  </si>
  <si>
    <t>MLCCI-1639775051-23485</t>
  </si>
  <si>
    <t xml:space="preserve">MLCCI-6-1112 </t>
  </si>
  <si>
    <t>Capcoal (Grasstree, Lake Lindsay and Aquila mines)</t>
  </si>
  <si>
    <t>Total production on 100% basis; calculated using attributable production and % stake of the company in mine; Calculated using sum of quarterly figures except for 2012; For 2012 calendar year is considered and calculated using attributable production and % stake of the company in mine</t>
  </si>
  <si>
    <t>MLCCI-1639775051-83982</t>
  </si>
  <si>
    <t>MLCCI-1639775051-95005</t>
  </si>
  <si>
    <t>MLCCI-1639775051-105346</t>
  </si>
  <si>
    <t>Dawson</t>
  </si>
  <si>
    <t>Drayton</t>
  </si>
  <si>
    <t>Total production on 100% basis; calculated using attributable production and % stake of the company in mine; Calculated using sum of quarterly figures except for 2012; For 2012 calendar year is considered and calculated using attributable production and % stake of the company in mine;  Ceased mining activities at the Drayton mine in 2016.</t>
  </si>
  <si>
    <t>Foxleigh</t>
  </si>
  <si>
    <t>Total production on 100% basis; calculated using attributable production and % stake of the company in mine; Calculated using sum of quarterly figures except for 2012; For 2012 calendar year is considered and calculated using attributable production and % stake of the company in mine. SOld end of 2016</t>
  </si>
  <si>
    <t>Jellinbah Group (Lake Vermont and Jellinbah East)</t>
  </si>
  <si>
    <t>Moranbah North</t>
  </si>
  <si>
    <t>Grosvenor</t>
  </si>
  <si>
    <t>Total production on 100% basis</t>
  </si>
  <si>
    <t>MLCCI-1639775051-96148</t>
  </si>
  <si>
    <t>Thermal -Export</t>
  </si>
  <si>
    <t>Thermal -Domestic</t>
  </si>
  <si>
    <t>Total Thermal Export (Mine Level)</t>
  </si>
  <si>
    <t>Total Thermal coal production at attributable basis</t>
  </si>
  <si>
    <t>MLCCI-1639775051-92926</t>
  </si>
  <si>
    <t>MLCCI-1639775051-114893</t>
  </si>
  <si>
    <t>MLCCI-1639775051-125957</t>
  </si>
  <si>
    <t>MLCCI-1639775051-133174</t>
  </si>
  <si>
    <t>MLCCI-1066059444-50109</t>
  </si>
  <si>
    <t>MLCCI-1066059444-57831</t>
  </si>
  <si>
    <t>ROM Production  (Mine Level)</t>
  </si>
  <si>
    <t>MLCCI-1639775051-95170</t>
  </si>
  <si>
    <t>MLCCI-1639775051-106959</t>
  </si>
  <si>
    <t>MLCCI-1639775051-131028</t>
  </si>
  <si>
    <t>Lake Vermont</t>
  </si>
  <si>
    <t>MLCCI-1066059444-55194</t>
  </si>
  <si>
    <t>MLCCI-1066059444-59780</t>
  </si>
  <si>
    <t>Mass Recovery</t>
  </si>
  <si>
    <t>%</t>
  </si>
  <si>
    <t>Mass recovery calculated using saleable and ROM production</t>
  </si>
  <si>
    <t>Jellinbah East</t>
  </si>
  <si>
    <t>Mass recovery calculated using saleable and ROM production. 2013 based on FY data</t>
  </si>
  <si>
    <t>Anglo's Share</t>
  </si>
  <si>
    <t>Aquila</t>
  </si>
  <si>
    <t>Grasstree</t>
  </si>
  <si>
    <t>Lake Lindsay</t>
  </si>
  <si>
    <t>FY Production ROM Production (Mine level)</t>
  </si>
  <si>
    <t>ROM Production</t>
  </si>
  <si>
    <t>FY ROM production numbers; Calenderised ROM production based on FY numbers</t>
  </si>
  <si>
    <t>MLCCI-1639775051-92911</t>
  </si>
  <si>
    <t>MLCCI-1639775051-92912</t>
  </si>
  <si>
    <t>MLCCI-1639775051-122529</t>
  </si>
  <si>
    <t>MLCCI-1639775051-130733</t>
  </si>
  <si>
    <t>MLCCI-1066059444-48245</t>
  </si>
  <si>
    <t>MLCCI-1066059444-54832</t>
  </si>
  <si>
    <t>MLCCI-1066059444-62827</t>
  </si>
  <si>
    <t>Callide &amp; Boundary Hill</t>
  </si>
  <si>
    <t xml:space="preserve">German Creek East </t>
  </si>
  <si>
    <t>German Creek - Lake Lindsay</t>
  </si>
  <si>
    <t>German Creek - Aquila</t>
  </si>
  <si>
    <t>German Creek - Grasstree</t>
  </si>
  <si>
    <t>Total FY Saleable Production (Met + Thermal)</t>
  </si>
  <si>
    <t xml:space="preserve">Mt </t>
  </si>
  <si>
    <t>MLCCI-1639775051-96255</t>
  </si>
  <si>
    <t>MLCCI-1639775051-93685</t>
  </si>
  <si>
    <t>MLCCI-1639775051-111992</t>
  </si>
  <si>
    <t>German Creek East - Oak Park</t>
  </si>
  <si>
    <t>On hold in 2013</t>
  </si>
  <si>
    <t>Aquila on hold July 2013; Aquila restarted in Feb 2022</t>
  </si>
  <si>
    <t>-</t>
  </si>
  <si>
    <t>Grasstree stopped in Jan 2022</t>
  </si>
  <si>
    <t>Saleable Production - metcoal - attributable</t>
  </si>
  <si>
    <t>MLCCI-110139226-49490</t>
  </si>
  <si>
    <t>HCC (attributable)</t>
  </si>
  <si>
    <t>Share of HCC in total metcoal production</t>
  </si>
  <si>
    <t>PCI/SSCC (attributable)</t>
  </si>
  <si>
    <t>Share of PCI/SSCC in total metcoal production</t>
  </si>
  <si>
    <t>Saleable Production - metcoal - 100%</t>
  </si>
  <si>
    <t>FY saleable production numbers; FY2014-2015 combined thermal and coking coal production is available; Quarterly attributable production converted to total production</t>
  </si>
  <si>
    <t>FY saleable production numbers; Quarterly attributable production converted to total production</t>
  </si>
  <si>
    <t>FY saleable production numbers</t>
  </si>
  <si>
    <t xml:space="preserve">FY saleable production numbers; German Creek East &amp; Oak Park operation ceased in 2013 </t>
  </si>
  <si>
    <t>FY saleable production numbers; FY2014-2015 combined thermal and coking coal production is available</t>
  </si>
  <si>
    <t>FY saleable production numbers; Aquila Bord &amp; Pillar into care and maintenance since July 2013</t>
  </si>
  <si>
    <t>Recalculated based on share of mines in Capcoal complex, times Anglo's ownership share in each</t>
  </si>
  <si>
    <t xml:space="preserve"> </t>
  </si>
  <si>
    <t>Quarterly attributable production converted to total production</t>
  </si>
  <si>
    <t>HCC production</t>
  </si>
  <si>
    <t>Total metcoal production at mines times share of HCC</t>
  </si>
  <si>
    <t>PCI/SSCC production</t>
  </si>
  <si>
    <t>Total metcoal production at mines times share of PCI/SSCC</t>
  </si>
  <si>
    <t>Saleable Production - Thermal Coal - attributable share</t>
  </si>
  <si>
    <t>MLCCI-522708580-26370</t>
  </si>
  <si>
    <t xml:space="preserve">Total Attributable thermal coal </t>
  </si>
  <si>
    <t>Saleable Production - Thermal Coal - 100%</t>
  </si>
  <si>
    <t xml:space="preserve">FY saleable production numbers; Q4 2020 attributable thermal coal production has been split in the Q3 production ratio </t>
  </si>
  <si>
    <t>2017: Jellinbah Group thermal sales. 2018, 2019 &amp; 2020: total Jellinbah less Lake Vermont estimate. This gives a lower number compared with Jellinbah thermal data in QLD stats, but there is conflicting info and I believe Lake Vermont thermal sales are ~0.5 Mt/y</t>
  </si>
  <si>
    <t>2018 is average of FY numbers to get to CY estimate. 2019-20 assumes thermal share of total coal at LV remains the same</t>
  </si>
  <si>
    <t xml:space="preserve">Jellinbah total thermal sales from Anglo quarterly reports; Q4 2020 attributable thermal coal production has been split in the Q3 production ratio </t>
  </si>
  <si>
    <t>Dawson Product split</t>
  </si>
  <si>
    <t>Thermal Coal</t>
  </si>
  <si>
    <t>Product split based on calendarised FY values; values for FY 2014 assumed to be equal to average of FY 2012 and '13; CY 2012 assumed to be equal to FY 2013 and CY 2017 to FY 2016</t>
  </si>
  <si>
    <t>Metallurgical Coal (Coking)</t>
  </si>
  <si>
    <t>Product split based on calendarised FY values; values for FY 2014 assumed to be equal to average of FY 2012 and '13; CY 2012 assumed to be equal to FY 2013. 2017-18 based on actuals</t>
  </si>
  <si>
    <t>SHCC</t>
  </si>
  <si>
    <t>Split of met coal between SSCC and HCC assumed to be 50:50</t>
  </si>
  <si>
    <t>SSCC</t>
  </si>
  <si>
    <t>German Creek/Capcoal Complex Production Split</t>
  </si>
  <si>
    <t>Capcoal OP (Lake Lindsay, Oak Park and German Creek East)</t>
  </si>
  <si>
    <t>Product split based on calendarised FY values</t>
  </si>
  <si>
    <t xml:space="preserve">Capcoal UG - Grasstree </t>
  </si>
  <si>
    <t>Capcoal UG - Aquila Bord &amp; Pillar</t>
  </si>
  <si>
    <t>Capcoal UG- Aquila Longwall</t>
  </si>
  <si>
    <t>German Creek/Capcoal Complex Production Share</t>
  </si>
  <si>
    <t>Production calculated using calendarised production and product share. 2019 data is total Capcoal less estimate for Grasstree, which is based on a company presentation</t>
  </si>
  <si>
    <t>Production calculated using calendarised production and product share. 2017 reported as 25% less than 2018. 2019 production is estimated based on chart in source (page 20)</t>
  </si>
  <si>
    <t>MLCCI-522708580-7358</t>
  </si>
  <si>
    <t>Aquila Bord &amp; Pillar went into care and maintenance in July 2013</t>
  </si>
  <si>
    <t>Aqula longwall started in Feb 2022</t>
  </si>
  <si>
    <t>German Creek - Lake Lindsay Product Split</t>
  </si>
  <si>
    <t>Product split based on calendarised FY values; values for FY 2014 assumed to be equal to average of FY 2012 and '13; CY 2012 assumed to be equal to FY 2013. 2017-18 based on actuals</t>
  </si>
  <si>
    <t>Metallurgical Coal</t>
  </si>
  <si>
    <t>HCC</t>
  </si>
  <si>
    <t>PCI</t>
  </si>
  <si>
    <t>Jellinbah Group Production Split</t>
  </si>
  <si>
    <t>Product split based on calendarised FY values; values for FY 2014 assumed to be equal to average of FY 2012 and '13; 2020 split assumed same as 2019 split</t>
  </si>
  <si>
    <t>Product split based on calendarised FY values; values for FY 2014 assumed to be equal to average of FY 2012 and '13; CY 2012 assumed to be equal to CY 2013. 2019 uses LV QLD Top 10 mines data</t>
  </si>
  <si>
    <t>MLCCI-1639775051-93391</t>
  </si>
  <si>
    <t>Product split based on calendarised FY values; values for FY 2014 assumed to be equal to average of FY 2012 and '13; CY 2012 assumed to be equal to CY 2013. 2019 use QLD Top 10 data</t>
  </si>
  <si>
    <t>Lake Vermont product split</t>
  </si>
  <si>
    <t>Assumed same as old estimate for 2012-2017. 2018 mine started selling thermal coal, so adjusted the split lower based on the thermal numbers estimated from QLD stats; 2020 split assumed same as 2019 split</t>
  </si>
  <si>
    <t>MLCCI-1639775051-99119</t>
  </si>
  <si>
    <t>Thermal</t>
  </si>
  <si>
    <t>2020 split assumed same as 2019 split</t>
  </si>
  <si>
    <t>Jellinbah East - bypass</t>
  </si>
  <si>
    <t>Share of unwashed raw coal in total production</t>
  </si>
  <si>
    <t>80% of raw coal is not washed and is sold crushed and screened only</t>
  </si>
  <si>
    <t>MLCCI-1639775051-99045</t>
  </si>
  <si>
    <t>ROM</t>
  </si>
  <si>
    <t>ROM production for 2012, 2014-15, 2017-18 assumed using ratio of bypass versus total</t>
  </si>
  <si>
    <t>Saleable coal</t>
  </si>
  <si>
    <t>Saleable coal was assumed equal to ROM due to beneficiation including only crushing and screening</t>
  </si>
  <si>
    <t>Thermal coal</t>
  </si>
  <si>
    <t>2013 and 2016 based on FY data. 2012, 2014-15 assumed based on product share. 2018-2019 is Jellinbah Group thermal (from Anglo reports) less Lake Vermont thermal</t>
  </si>
  <si>
    <t>PCI coal</t>
  </si>
  <si>
    <t>Share of thermal coal</t>
  </si>
  <si>
    <t>IH.S. input: thermal coal is not washed and JE</t>
  </si>
  <si>
    <t>Share of PCI coal</t>
  </si>
  <si>
    <t>Jellinbah East - washing</t>
  </si>
  <si>
    <t>Share of washed raw coal in total production of Jellinbah East</t>
  </si>
  <si>
    <t>Saleable production divided by mass recovery</t>
  </si>
  <si>
    <t>Total production less bypass</t>
  </si>
  <si>
    <t>Mass recovery</t>
  </si>
  <si>
    <t>Assumed same as historical</t>
  </si>
  <si>
    <t>Total less thermal</t>
  </si>
  <si>
    <t>2012, 2014-15 assumed same as 2013; Only PCI production in 2020</t>
  </si>
  <si>
    <t>MLCCI-1639775051-116920</t>
  </si>
  <si>
    <t>Jellinbah East Product Split</t>
  </si>
  <si>
    <t xml:space="preserve">PCI </t>
  </si>
  <si>
    <t>Resources</t>
  </si>
  <si>
    <t>Total</t>
  </si>
  <si>
    <t>MLCCI-1639775051-99018</t>
  </si>
  <si>
    <t>Jellinbah East bypass</t>
  </si>
  <si>
    <t>Split of resources between submines using ROM</t>
  </si>
  <si>
    <t>Jellinbah East washing</t>
  </si>
  <si>
    <t>Emissions - Scope 1</t>
  </si>
  <si>
    <t>Responsible emitter code</t>
  </si>
  <si>
    <t>t CO2 eq.</t>
  </si>
  <si>
    <t>73 010 037 564</t>
  </si>
  <si>
    <t>15 006 746 701</t>
  </si>
  <si>
    <t>MLCCI-1639775051-116802</t>
  </si>
  <si>
    <t>MLCCI-1639775051-116803</t>
  </si>
  <si>
    <t>MLCCI-1639775051-116804</t>
  </si>
  <si>
    <t>MLCCI-1639775051-116805</t>
  </si>
  <si>
    <t>MLCCI-1639775051-128684</t>
  </si>
  <si>
    <t>MLCCI-1066059444-43474</t>
  </si>
  <si>
    <t>MLCCI-1066059444-54969</t>
  </si>
  <si>
    <t>16 153 794 122</t>
  </si>
  <si>
    <t>From FY 2016-2017  to 2019-2020 the numbers are reported on a factor of GWP 25 basis. Hence converted</t>
  </si>
  <si>
    <t>14 069 603 587</t>
  </si>
  <si>
    <t>Jellinbah</t>
  </si>
  <si>
    <t>63 052 251 000</t>
  </si>
  <si>
    <t>87 010 221 486</t>
  </si>
  <si>
    <t>Emissions intensity - Scope 1</t>
  </si>
  <si>
    <t>t CO2 eq./t ROM</t>
  </si>
  <si>
    <t>Average realised price</t>
  </si>
  <si>
    <t>PHCC</t>
  </si>
  <si>
    <t>USD/mt</t>
  </si>
  <si>
    <t>MLCCI-1639775051-28529</t>
  </si>
  <si>
    <t>MLCCI-1639775051-97698</t>
  </si>
  <si>
    <t>MLCCI-1639775051-115985</t>
  </si>
  <si>
    <t>MLCCI-1639775051-125675</t>
  </si>
  <si>
    <t>Reference price MineSpans</t>
  </si>
  <si>
    <t>Price differential</t>
  </si>
  <si>
    <t>Lake Lindsay Product Share</t>
  </si>
  <si>
    <t>Product Share</t>
  </si>
  <si>
    <t>From 2012-2020 PCI share calculated as per the 2021 ratio of HCC&amp;PCI from total coking coal</t>
  </si>
  <si>
    <t>data_key</t>
  </si>
  <si>
    <t>sheet</t>
  </si>
  <si>
    <t>orig_row</t>
  </si>
  <si>
    <t>section</t>
  </si>
  <si>
    <t>item</t>
  </si>
  <si>
    <t>unit</t>
  </si>
  <si>
    <t>anglo_share_pct</t>
  </si>
  <si>
    <t>source_ref</t>
  </si>
  <si>
    <t>comment</t>
  </si>
  <si>
    <t>Q1_2012</t>
  </si>
  <si>
    <t>Q2_2012</t>
  </si>
  <si>
    <t>Q3_2012</t>
  </si>
  <si>
    <t>Q4_2012</t>
  </si>
  <si>
    <t>Q1_2013</t>
  </si>
  <si>
    <t>Q2_2013</t>
  </si>
  <si>
    <t>Q3_2013</t>
  </si>
  <si>
    <t>Q4_2013</t>
  </si>
  <si>
    <t>Q1_2014</t>
  </si>
  <si>
    <t>Q2_2014</t>
  </si>
  <si>
    <t>Q3_2014</t>
  </si>
  <si>
    <t>Q4_2014</t>
  </si>
  <si>
    <t>Q1_2015</t>
  </si>
  <si>
    <t>Q2_2015</t>
  </si>
  <si>
    <t>Q3_2015</t>
  </si>
  <si>
    <t>Q4_2015</t>
  </si>
  <si>
    <t>Q1_2016</t>
  </si>
  <si>
    <t>Q2_2016</t>
  </si>
  <si>
    <t>Q3_2016</t>
  </si>
  <si>
    <t>Q4_2016</t>
  </si>
  <si>
    <t>Q1_2017</t>
  </si>
  <si>
    <t>Q2_2017</t>
  </si>
  <si>
    <t>Q3_2017</t>
  </si>
  <si>
    <t>Q4_2017</t>
  </si>
  <si>
    <t>Q1_2018</t>
  </si>
  <si>
    <t>Q2_2018</t>
  </si>
  <si>
    <t>Q3_2018</t>
  </si>
  <si>
    <t>Q4_2018</t>
  </si>
  <si>
    <t>Q1_2019</t>
  </si>
  <si>
    <t>Q2_2019</t>
  </si>
  <si>
    <t>Q3_2019</t>
  </si>
  <si>
    <t>Q4_2019</t>
  </si>
  <si>
    <t>Q1_2020</t>
  </si>
  <si>
    <t>Q2_2020</t>
  </si>
  <si>
    <t>Q3_2020</t>
  </si>
  <si>
    <t>Q4_2020</t>
  </si>
  <si>
    <t>Q1_2021</t>
  </si>
  <si>
    <t>Q2_2021</t>
  </si>
  <si>
    <t>Q3_2021</t>
  </si>
  <si>
    <t>Q4_2021</t>
  </si>
  <si>
    <t>Q1_2022</t>
  </si>
  <si>
    <t>Q2_2022</t>
  </si>
  <si>
    <t>Q3_2022</t>
  </si>
  <si>
    <t>Q4_2022</t>
  </si>
  <si>
    <t>Q1_2023</t>
  </si>
  <si>
    <t>Q2_2023</t>
  </si>
  <si>
    <t>Q3_2023</t>
  </si>
  <si>
    <t>Q4_2023</t>
  </si>
  <si>
    <t>Q1_2024</t>
  </si>
  <si>
    <t>Q2_2024</t>
  </si>
  <si>
    <t>Q3_2024</t>
  </si>
  <si>
    <t>Q4_2024</t>
  </si>
  <si>
    <t>Q1_2025</t>
  </si>
  <si>
    <t>Q2_2025</t>
  </si>
  <si>
    <t>Q3_2025</t>
  </si>
  <si>
    <t>Q4_2025</t>
  </si>
  <si>
    <t>FY2012_2013</t>
  </si>
  <si>
    <t>FY2013_2014</t>
  </si>
  <si>
    <t>FY2014_2015</t>
  </si>
  <si>
    <t>FY2015_2016</t>
  </si>
  <si>
    <t>FY2016_2017</t>
  </si>
  <si>
    <t>FY2017_2018</t>
  </si>
  <si>
    <t>FY2018_2019</t>
  </si>
  <si>
    <t>FY2019_2020</t>
  </si>
  <si>
    <t>FY2020_2021</t>
  </si>
  <si>
    <t>FY2021_2022</t>
  </si>
  <si>
    <t>FY2022_2023</t>
  </si>
  <si>
    <t>FY2023_2024</t>
  </si>
  <si>
    <t>FY2024_2025</t>
  </si>
  <si>
    <t>FY2025_2026</t>
  </si>
  <si>
    <t>CY2012</t>
  </si>
  <si>
    <t>CY2013</t>
  </si>
  <si>
    <t>CY2014</t>
  </si>
  <si>
    <t>CY2015</t>
  </si>
  <si>
    <t>CY2016</t>
  </si>
  <si>
    <t>CY2017</t>
  </si>
  <si>
    <t>CY2018</t>
  </si>
  <si>
    <t>CY2019</t>
  </si>
  <si>
    <t>CY2020</t>
  </si>
  <si>
    <t>CY2021</t>
  </si>
  <si>
    <t>CY2022</t>
  </si>
  <si>
    <t>CY2023</t>
  </si>
  <si>
    <t>CY2024</t>
  </si>
  <si>
    <t>Coal production - Mine Level::Callide</t>
  </si>
  <si>
    <t>VariousOperations_Calculations</t>
  </si>
  <si>
    <t>Coal production - Mine Level::Capcoal (Grasstree, Lake Lindsay and Aquila mines)</t>
  </si>
  <si>
    <t>MLCCI-6-1112</t>
  </si>
  <si>
    <t>Coal production - Mine Level::Dawson</t>
  </si>
  <si>
    <t>Coal production - Mine Level::Drayton</t>
  </si>
  <si>
    <t>Coal production - Mine Level::Foxleigh</t>
  </si>
  <si>
    <t>Coal production - Mine Level::Jellinbah Group (Lake Vermont and Jellinbah East)</t>
  </si>
  <si>
    <t>Coal production - Mine Level::Moranbah North</t>
  </si>
  <si>
    <t>Coal production - Mine Level::Grosvenor</t>
  </si>
  <si>
    <t>Coal production - Mine Level::Thermal -Export</t>
  </si>
  <si>
    <t>Coal production - Mine Level::Thermal -Domestic</t>
  </si>
  <si>
    <t>Coal production - Mine Level::Total Thermal Export (Mine Level)</t>
  </si>
  <si>
    <t>Coal production - Mine Level::Lake Vermont</t>
  </si>
  <si>
    <t>Anglo's Share::Aquila</t>
  </si>
  <si>
    <t>Anglo's Share::Callide</t>
  </si>
  <si>
    <t>Anglo's Share::Dawson</t>
  </si>
  <si>
    <t>Anglo's Share::Drayton</t>
  </si>
  <si>
    <t>Anglo's Share::Foxleigh</t>
  </si>
  <si>
    <t>Anglo's Share::Grasstree</t>
  </si>
  <si>
    <t>Anglo's Share::Grosvenor</t>
  </si>
  <si>
    <t>Anglo's Share::Jellinbah East</t>
  </si>
  <si>
    <t>Anglo's Share::Lake Lindsay</t>
  </si>
  <si>
    <t>Anglo's Share::Lake Vermont</t>
  </si>
  <si>
    <t>Anglo's Share::Moranbah North</t>
  </si>
  <si>
    <t>ROM Production::Dawson</t>
  </si>
  <si>
    <t>MLCCI-1066059444-48245; MLCCI-1066059444-54832; MLCCI-1066059444-62827; MLCCI-1639775051-122529; MLCCI-1639775051-130733; MLCCI-1639775051-92911; MLCCI-1639775051-92912</t>
  </si>
  <si>
    <t>ROM Production::Moranbah North</t>
  </si>
  <si>
    <t>ROM Production::Foxleigh</t>
  </si>
  <si>
    <t>MLCCI-1639775051-92911; MLCCI-1639775051-92912</t>
  </si>
  <si>
    <t>ROM Production::Callide &amp; Boundary Hill</t>
  </si>
  <si>
    <t>ROM Production::German Creek East</t>
  </si>
  <si>
    <t>German Creek East</t>
  </si>
  <si>
    <t>ROM Production::German Creek - Lake Lindsay</t>
  </si>
  <si>
    <t>ROM Production::German Creek - Aquila</t>
  </si>
  <si>
    <t>ROM Production::German Creek - Grasstree</t>
  </si>
  <si>
    <t>MLCCI-1066059444-54832; MLCCI-1066059444-62827; MLCCI-1639775051-122529; MLCCI-1639775051-130733; MLCCI-1639775051-92911; MLCCI-1639775051-92912</t>
  </si>
  <si>
    <t>ROM Production::Jellinbah East</t>
  </si>
  <si>
    <t>ROM Production::Lake Vermont</t>
  </si>
  <si>
    <t>ROM Production::Grosvenor</t>
  </si>
  <si>
    <t>MLCCI-1066059444-48245; MLCCI-1066059444-54832; MLCCI-1066059444-62827; MLCCI-1639775051-122529; MLCCI-1639775051-130733; MLCCI-1639775051-92912</t>
  </si>
  <si>
    <t>Total FY Saleable Production (Met + Thermal)::Dawson</t>
  </si>
  <si>
    <t>MLCCI-1639775051-111992; MLCCI-1639775051-92912; MLCCI-1639775051-93685; MLCCI-1639775051-96255</t>
  </si>
  <si>
    <t>Total FY Saleable Production (Met + Thermal)::Jellinbah East</t>
  </si>
  <si>
    <t>Total FY Saleable Production (Met + Thermal)::Lake Vermont</t>
  </si>
  <si>
    <t>Total FY Saleable Production (Met + Thermal)::German Creek - Lake Lindsay</t>
  </si>
  <si>
    <t>Total FY Saleable Production (Met + Thermal)::German Creek East - Oak Park</t>
  </si>
  <si>
    <t>Total FY Saleable Production (Met + Thermal)::German Creek - Aquila</t>
  </si>
  <si>
    <t>MLCCI-1639775051-93685; MLCCI-1639775051-96255</t>
  </si>
  <si>
    <t>Total FY Saleable Production (Met + Thermal)::German Creek - Grasstree</t>
  </si>
  <si>
    <t>Saleable Production - metcoal - attributable::Dawson</t>
  </si>
  <si>
    <t>Saleable Production - metcoal - attributable::Moranbah North</t>
  </si>
  <si>
    <t>German Creek - Grasstree::Capcoal (Grasstree, Lake Lindsay and Aquila mines)</t>
  </si>
  <si>
    <t>German Creek - Grasstree::Grosvenor</t>
  </si>
  <si>
    <t>Lake Vermont::Jellinbah Group (Lake Vermont and Jellinbah East)</t>
  </si>
  <si>
    <t>Lake Vermont::HCC (attributable)</t>
  </si>
  <si>
    <t>Lake Vermont::PCI/SSCC (attributable)</t>
  </si>
  <si>
    <t>Saleable Production - metcoal - 100%::Dawson</t>
  </si>
  <si>
    <t>MLCCI-1066059444-48245; MLCCI-1066059444-54832; MLCCI-1066059444-62827; MLCCI-1639775051-130733; MLCCI-1639775051-92911; MLCCI-1639775051-92912</t>
  </si>
  <si>
    <t>Saleable Production - metcoal - 100%::Moranbah North</t>
  </si>
  <si>
    <t>MLCCI-1066059444-48245; MLCCI-1066059444-54832; MLCCI-1066059444-62827; MLCCI-1639775051-130733; MLCCI-1639775051-92911; MLCCI-1639775051-92912; MLCCI-1639775051-93685</t>
  </si>
  <si>
    <t>Saleable Production - metcoal - 100%::Foxleigh</t>
  </si>
  <si>
    <t>MLCCI-1639775051-92911; MLCCI-1639775051-92912; MLCCI-1639775051-93685</t>
  </si>
  <si>
    <t>Saleable Production - metcoal - 100%::German Creek East</t>
  </si>
  <si>
    <t>Saleable Production - metcoal - 100%::German Creek - Lake Lindsay</t>
  </si>
  <si>
    <t>Saleable Production - metcoal - 100%::German Creek - Aquila</t>
  </si>
  <si>
    <t>MLCCI-1066059444-48245; MLCCI-1066059444-54832; MLCCI-1066059444-62827; MLCCI-1639775051-92911</t>
  </si>
  <si>
    <t>Saleable Production - metcoal - 100%::German Creek - Grasstree</t>
  </si>
  <si>
    <t>Saleable Production - metcoal - 100%::Grosvenor</t>
  </si>
  <si>
    <t>MLCCI-1066059444-48245; MLCCI-1066059444-54832; MLCCI-1066059444-62827; MLCCI-1639775051-130733; MLCCI-1639775051-92912; MLCCI-1639775051-93685</t>
  </si>
  <si>
    <t>Saleable Production - metcoal - 100%::Jellinbah East</t>
  </si>
  <si>
    <t>MLCCI-1066059444-48245; MLCCI-1066059444-54832; MLCCI-1066059444-62827; MLCCI-1639775051-111992; MLCCI-1639775051-130733; MLCCI-1639775051-92911; MLCCI-1639775051-92912</t>
  </si>
  <si>
    <t>Saleable Production - metcoal - 100%::Lake Vermont</t>
  </si>
  <si>
    <t>MLCCI-1066059444-48245; MLCCI-1066059444-54832; MLCCI-1066059444-62827; MLCCI-1639775051-111992; MLCCI-1639775051-130733; MLCCI-1639775051-92911; MLCCI-1639775051-92912; MLCCI-1639775051-93685</t>
  </si>
  <si>
    <t>Saleable Production - Thermal Coal - attributable share::Dawson</t>
  </si>
  <si>
    <t>Saleable Production - Thermal Coal - 100%::Dawson</t>
  </si>
  <si>
    <t>Saleable Production - Thermal Coal - 100%::Callide &amp; Boundary Hill</t>
  </si>
  <si>
    <t>Saleable Production - Thermal Coal - 100%::German Creek - Lake Lindsay</t>
  </si>
  <si>
    <t>MLCCI-1066059444-48245; MLCCI-1066059444-54832; MLCCI-1066059444-62827; MLCCI-1639775051-130733; MLCCI-1639775051-92912</t>
  </si>
  <si>
    <t>Saleable Production - Thermal Coal - 100%::Jellinbah East</t>
  </si>
  <si>
    <t>Saleable Production - Thermal Coal - 100%::Lake Vermont</t>
  </si>
  <si>
    <t>MLCCI-1066059444-48245; MLCCI-1066059444-54832; MLCCI-1066059444-62827; MLCCI-1639775051-111992; MLCCI-1639775051-130733; MLCCI-1639775051-92912</t>
  </si>
  <si>
    <t>Saleable Production - Thermal Coal - 100%::Jellinbah Group (Lake Vermont and Jellinbah East)</t>
  </si>
  <si>
    <t>German Creek - Lake Lindsay Product Split::Metallurgical Coal</t>
  </si>
  <si>
    <t>Jellinbah Group Production Split::Jellinbah East</t>
  </si>
  <si>
    <t>Jellinbah Group Production Split::Lake Vermont</t>
  </si>
  <si>
    <t>Lake Vermont product split::HCC</t>
  </si>
  <si>
    <t>Lake Vermont product split::PCI</t>
  </si>
  <si>
    <t>Jellinbah East - washing::Share of washed raw coal in total production of Jellinbah East</t>
  </si>
  <si>
    <t>Jellinbah East - washing::PCI</t>
  </si>
  <si>
    <t>Resources::Total</t>
  </si>
  <si>
    <t>Emissions - Scope 1::Capcoal (Grasstree, Lake Lindsay and Aquila mines)</t>
  </si>
  <si>
    <t>Emissions - Scope 1::Dawson</t>
  </si>
  <si>
    <t>MLCCI-1066059444-43474; MLCCI-1066059444-54969; MLCCI-1639775051-116802; MLCCI-1639775051-116803; MLCCI-1639775051-116804; MLCCI-1639775051-116805; MLCCI-1639775051-128684</t>
  </si>
  <si>
    <t>Emissions - Scope 1::Grosvenor</t>
  </si>
  <si>
    <t>Emissions - Scope 1::Moranbah North</t>
  </si>
  <si>
    <t>Emissions - Scope 1::Jellinbah</t>
  </si>
  <si>
    <t>Emissions - Scope 1::Lake Vermont</t>
  </si>
  <si>
    <t>Average realised price::PHCC</t>
  </si>
  <si>
    <t>Average realised price::PCI</t>
  </si>
  <si>
    <t>Reference price MineSpans::PHCC</t>
  </si>
  <si>
    <t>Reference price MineSpans::PCI</t>
  </si>
  <si>
    <t>Lake Lindsay Product Share::HCC</t>
  </si>
  <si>
    <t>MLCCI-1066059444-54832; MLCCI-1066059444-62827</t>
  </si>
  <si>
    <t>Lake Lindsay Product Share::Thermal</t>
  </si>
  <si>
    <t>Lake Lindsay Product Share::PCI</t>
  </si>
  <si>
    <t>Employees::Employees::Dawson</t>
  </si>
  <si>
    <t>VariousOperations_Employees</t>
  </si>
  <si>
    <t>Employees</t>
  </si>
  <si>
    <t>Headcount</t>
  </si>
  <si>
    <t>Employees::Employees::Jellinbah East</t>
  </si>
  <si>
    <t>Employees::Employees::Jellinbah Plains</t>
  </si>
  <si>
    <t>Jellinbah Plains</t>
  </si>
  <si>
    <t>Employees::Employees::Lake Vermont</t>
  </si>
  <si>
    <t>Employees::Employees::Grasstree</t>
  </si>
  <si>
    <t>Employees::Employees::Grosvenor</t>
  </si>
  <si>
    <t>Employees::Employees::Moranbah North</t>
  </si>
  <si>
    <t>Employees::Employees::Aquila</t>
  </si>
  <si>
    <t>Employees::Employees::Capcoal Surface Coal Mine</t>
  </si>
  <si>
    <t>Capcoal Surface Coal Mine</t>
  </si>
  <si>
    <t>Employees::Jellinbah East::Permanent</t>
  </si>
  <si>
    <t>Permanent</t>
  </si>
  <si>
    <t>Employees::Jellinbah East::Contractor</t>
  </si>
  <si>
    <t>Contractor</t>
  </si>
  <si>
    <t>Employees::Lake Vermont::Permanent</t>
  </si>
  <si>
    <t>Employees::Lake Vermont::Contractor</t>
  </si>
  <si>
    <t>Anglo American Coal - Employee Calculations</t>
  </si>
  <si>
    <t>Quarterly Coal Mine Employees</t>
  </si>
  <si>
    <t>Coal Mines - Australia</t>
  </si>
  <si>
    <t>Average of quarterly employees numbers</t>
  </si>
  <si>
    <t>MLCCI-991351766-4929</t>
  </si>
  <si>
    <t>MLCCI-1639775051-90659</t>
  </si>
  <si>
    <t>MLCCI-1639775051-100323</t>
  </si>
  <si>
    <t>MLCCI-1639775051-116522</t>
  </si>
  <si>
    <t>MLCCI-1639775051-117119</t>
  </si>
  <si>
    <t>MLCCI-1639775051-125834</t>
  </si>
  <si>
    <t>MLCCI-1066059444-53291</t>
  </si>
  <si>
    <t>MLCCI-1639775051-117218</t>
  </si>
  <si>
    <t>Average of quarterly employees numbers; Mine started operation in 2015; For 2024 as mine was operational for first 6 months hence average for 2 quarters is taken</t>
  </si>
  <si>
    <t xml:space="preserve">Quarterly employees numbers reported for only Q2 for the years 2013-2015 and 2017
</t>
  </si>
  <si>
    <t>Jellinbah East + Plains</t>
  </si>
  <si>
    <t>Sum of quarterly averages of both pits</t>
  </si>
  <si>
    <t>Employees split based on ROM production</t>
  </si>
  <si>
    <t>MLCCI-1639775051-124882</t>
  </si>
  <si>
    <t>Share of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</si>
</sst>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0.0%"/>
    <numFmt numFmtId="167" formatCode="#,##0.000000"/>
    <numFmt numFmtId="168" formatCode="_(* #,##0.000_);_(* \(#,##0.000\);_(* &quot;-&quot;??_);_(@_)"/>
    <numFmt numFmtId="169" formatCode="_(* #,##0.000_);_(* \(#,##0.000\);_(* &quot;-&quot;???_);_(@_)"/>
    <numFmt numFmtId="170" formatCode="_(* #,##0_);_(* \(#,##0\);_(* &quot;-&quot;???_);_(@_)"/>
    <numFmt numFmtId="171" formatCode="#,##0.0"/>
    <numFmt numFmtId="172" formatCode="0.000"/>
    <numFmt numFmtId="173" formatCode="_-* #,##0_-;\-* #,##0_-;_-* &quot;-&quot;??_-;_-@_-"/>
    <numFmt numFmtId="174" formatCode="_-* #,##0.00\ _€_-;\-* #,##0.00\ _€_-;_-* &quot;-&quot;??\ _€_-;_-@_-"/>
  </numFmts>
  <fonts count="26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sz val="6"/>
      <color rgb="FF00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Roboto"/>
      <family val="2"/>
      <charset val="1"/>
    </font>
    <font>
      <b/>
      <sz val="11"/>
      <color rgb="FFFF0000"/>
      <name val="Calibri"/>
      <family val="2"/>
      <scheme val="minor"/>
    </font>
    <font>
      <i/>
      <sz val="11"/>
      <color rgb="FFA6A6A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2F5496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7">
    <xf numFmtId="0" fontId="0" fillId="0" borderId="0"/>
    <xf numFmtId="0" fontId="1" fillId="2" borderId="1"/>
    <xf numFmtId="0" fontId="5" fillId="3" borderId="3"/>
    <xf numFmtId="9" fontId="5" fillId="0" borderId="0"/>
    <xf numFmtId="43" fontId="5" fillId="0" borderId="0"/>
    <xf numFmtId="0" fontId="9" fillId="0" borderId="0"/>
    <xf numFmtId="174" fontId="5" fillId="0" borderId="0"/>
  </cellStyleXfs>
  <cellXfs count="110">
    <xf numFmtId="0" fontId="0" fillId="0" borderId="0" xfId="0"/>
    <xf numFmtId="0" fontId="2" fillId="0" borderId="0" xfId="0" applyFont="1"/>
    <xf numFmtId="0" fontId="1" fillId="2" borderId="1" xfId="1"/>
    <xf numFmtId="0" fontId="3" fillId="0" borderId="0" xfId="0" applyFont="1"/>
    <xf numFmtId="0" fontId="4" fillId="0" borderId="0" xfId="0" applyFont="1"/>
    <xf numFmtId="0" fontId="2" fillId="0" borderId="2" xfId="0" applyFont="1" applyBorder="1"/>
    <xf numFmtId="9" fontId="7" fillId="3" borderId="3" xfId="2" applyNumberFormat="1" applyFont="1"/>
    <xf numFmtId="2" fontId="0" fillId="0" borderId="0" xfId="0" applyNumberFormat="1"/>
    <xf numFmtId="0" fontId="2" fillId="0" borderId="0" xfId="0" applyFont="1" applyAlignment="1">
      <alignment horizontal="center"/>
    </xf>
    <xf numFmtId="2" fontId="1" fillId="2" borderId="1" xfId="1" applyNumberFormat="1"/>
    <xf numFmtId="9" fontId="0" fillId="0" borderId="0" xfId="3" applyFont="1"/>
    <xf numFmtId="2" fontId="0" fillId="0" borderId="0" xfId="0" applyNumberFormat="1" applyAlignment="1">
      <alignment horizontal="left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4" fontId="2" fillId="0" borderId="0" xfId="0" applyNumberFormat="1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left"/>
    </xf>
    <xf numFmtId="2" fontId="2" fillId="0" borderId="0" xfId="0" applyNumberFormat="1" applyFont="1"/>
    <xf numFmtId="9" fontId="0" fillId="0" borderId="0" xfId="3" applyFont="1" applyAlignment="1">
      <alignment horizontal="left"/>
    </xf>
    <xf numFmtId="3" fontId="2" fillId="0" borderId="0" xfId="0" applyNumberFormat="1" applyFont="1"/>
    <xf numFmtId="0" fontId="8" fillId="0" borderId="0" xfId="0" applyFont="1"/>
    <xf numFmtId="2" fontId="1" fillId="2" borderId="1" xfId="3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2" fontId="7" fillId="3" borderId="3" xfId="2" applyNumberFormat="1" applyFont="1"/>
    <xf numFmtId="0" fontId="2" fillId="0" borderId="2" xfId="0" applyFont="1" applyBorder="1" applyAlignment="1">
      <alignment horizontal="center"/>
    </xf>
    <xf numFmtId="0" fontId="7" fillId="0" borderId="4" xfId="5" applyFont="1" applyBorder="1"/>
    <xf numFmtId="165" fontId="0" fillId="0" borderId="0" xfId="4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/>
    <xf numFmtId="165" fontId="1" fillId="2" borderId="1" xfId="1" applyNumberFormat="1"/>
    <xf numFmtId="10" fontId="1" fillId="2" borderId="1" xfId="3" applyNumberFormat="1" applyFont="1" applyFill="1" applyBorder="1"/>
    <xf numFmtId="0" fontId="2" fillId="0" borderId="2" xfId="0" applyFont="1" applyBorder="1" applyAlignment="1">
      <alignment horizontal="left" wrapText="1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3" applyNumberFormat="1" applyFont="1" applyFill="1" applyBorder="1"/>
    <xf numFmtId="166" fontId="10" fillId="3" borderId="3" xfId="2" applyNumberFormat="1" applyFont="1"/>
    <xf numFmtId="166" fontId="7" fillId="3" borderId="3" xfId="3" applyNumberFormat="1" applyFont="1" applyFill="1" applyBorder="1"/>
    <xf numFmtId="166" fontId="10" fillId="3" borderId="3" xfId="3" applyNumberFormat="1" applyFont="1" applyFill="1" applyBorder="1" applyAlignment="1">
      <alignment horizontal="center"/>
    </xf>
    <xf numFmtId="2" fontId="10" fillId="3" borderId="3" xfId="2" applyNumberFormat="1" applyFont="1"/>
    <xf numFmtId="166" fontId="7" fillId="3" borderId="3" xfId="3" applyNumberFormat="1" applyFont="1" applyFill="1" applyBorder="1" applyAlignment="1">
      <alignment horizontal="center"/>
    </xf>
    <xf numFmtId="9" fontId="0" fillId="0" borderId="0" xfId="3" applyFont="1" applyAlignment="1">
      <alignment horizontal="center"/>
    </xf>
    <xf numFmtId="9" fontId="7" fillId="3" borderId="3" xfId="3" applyFont="1" applyFill="1" applyBorder="1"/>
    <xf numFmtId="9" fontId="1" fillId="2" borderId="1" xfId="3" applyFont="1" applyFill="1" applyBorder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10" fontId="1" fillId="2" borderId="1" xfId="1" applyNumberFormat="1"/>
    <xf numFmtId="10" fontId="2" fillId="0" borderId="0" xfId="0" applyNumberFormat="1" applyFont="1"/>
    <xf numFmtId="0" fontId="11" fillId="0" borderId="0" xfId="0" applyFont="1"/>
    <xf numFmtId="0" fontId="12" fillId="0" borderId="0" xfId="0" applyFont="1"/>
    <xf numFmtId="9" fontId="0" fillId="0" borderId="0" xfId="0" applyNumberFormat="1"/>
    <xf numFmtId="166" fontId="1" fillId="2" borderId="1" xfId="1" applyNumberFormat="1"/>
    <xf numFmtId="43" fontId="13" fillId="0" borderId="0" xfId="0" applyNumberFormat="1" applyFont="1"/>
    <xf numFmtId="43" fontId="1" fillId="2" borderId="1" xfId="1" applyNumberFormat="1"/>
    <xf numFmtId="10" fontId="1" fillId="2" borderId="1" xfId="3" applyNumberFormat="1" applyFont="1" applyFill="1" applyBorder="1" applyAlignment="1">
      <alignment horizontal="right"/>
    </xf>
    <xf numFmtId="165" fontId="0" fillId="4" borderId="0" xfId="4" applyNumberFormat="1" applyFont="1" applyFill="1" applyAlignment="1">
      <alignment horizontal="center"/>
    </xf>
    <xf numFmtId="165" fontId="1" fillId="4" borderId="1" xfId="1" applyNumberFormat="1" applyFill="1"/>
    <xf numFmtId="43" fontId="0" fillId="0" borderId="0" xfId="0" applyNumberFormat="1"/>
    <xf numFmtId="43" fontId="2" fillId="0" borderId="0" xfId="0" applyNumberFormat="1" applyFont="1"/>
    <xf numFmtId="43" fontId="1" fillId="2" borderId="1" xfId="3" applyNumberFormat="1" applyFont="1" applyFill="1" applyBorder="1" applyAlignment="1">
      <alignment horizontal="right"/>
    </xf>
    <xf numFmtId="43" fontId="7" fillId="3" borderId="3" xfId="2" applyNumberFormat="1" applyFont="1"/>
    <xf numFmtId="3" fontId="0" fillId="0" borderId="0" xfId="0" applyNumberFormat="1"/>
    <xf numFmtId="43" fontId="0" fillId="0" borderId="0" xfId="0" applyNumberFormat="1" applyAlignment="1">
      <alignment horizontal="center"/>
    </xf>
    <xf numFmtId="43" fontId="7" fillId="3" borderId="3" xfId="2" applyNumberFormat="1" applyFont="1" applyAlignment="1">
      <alignment horizontal="center"/>
    </xf>
    <xf numFmtId="43" fontId="0" fillId="0" borderId="0" xfId="0" applyNumberFormat="1" applyAlignment="1">
      <alignment horizontal="left"/>
    </xf>
    <xf numFmtId="43" fontId="1" fillId="2" borderId="1" xfId="1" applyNumberFormat="1" applyAlignment="1">
      <alignment horizontal="right"/>
    </xf>
    <xf numFmtId="43" fontId="0" fillId="0" borderId="0" xfId="0" applyNumberFormat="1" applyAlignment="1">
      <alignment horizontal="right"/>
    </xf>
    <xf numFmtId="43" fontId="2" fillId="0" borderId="0" xfId="0" applyNumberFormat="1" applyFont="1" applyAlignment="1">
      <alignment horizontal="right"/>
    </xf>
    <xf numFmtId="168" fontId="1" fillId="2" borderId="1" xfId="3" applyNumberFormat="1" applyFont="1" applyFill="1" applyBorder="1" applyAlignment="1">
      <alignment horizontal="center"/>
    </xf>
    <xf numFmtId="169" fontId="0" fillId="0" borderId="0" xfId="0" applyNumberFormat="1"/>
    <xf numFmtId="0" fontId="14" fillId="0" borderId="0" xfId="0" applyFont="1"/>
    <xf numFmtId="9" fontId="1" fillId="2" borderId="1" xfId="1" applyNumberFormat="1"/>
    <xf numFmtId="170" fontId="0" fillId="0" borderId="0" xfId="0" applyNumberFormat="1"/>
    <xf numFmtId="0" fontId="15" fillId="0" borderId="0" xfId="0" applyFont="1"/>
    <xf numFmtId="3" fontId="14" fillId="0" borderId="0" xfId="0" applyNumberFormat="1" applyFont="1"/>
    <xf numFmtId="171" fontId="0" fillId="0" borderId="0" xfId="0" applyNumberFormat="1"/>
    <xf numFmtId="166" fontId="13" fillId="0" borderId="0" xfId="0" applyNumberFormat="1" applyFont="1"/>
    <xf numFmtId="9" fontId="0" fillId="0" borderId="0" xfId="0" applyNumberFormat="1" applyAlignment="1">
      <alignment horizontal="center"/>
    </xf>
    <xf numFmtId="2" fontId="17" fillId="0" borderId="0" xfId="0" applyNumberFormat="1" applyFont="1" applyAlignment="1">
      <alignment horizontal="right"/>
    </xf>
    <xf numFmtId="43" fontId="16" fillId="2" borderId="1" xfId="3" applyNumberFormat="1" applyFont="1" applyFill="1" applyBorder="1" applyAlignment="1">
      <alignment horizontal="right"/>
    </xf>
    <xf numFmtId="0" fontId="13" fillId="0" borderId="0" xfId="0" applyFont="1"/>
    <xf numFmtId="2" fontId="13" fillId="0" borderId="0" xfId="0" applyNumberFormat="1" applyFont="1"/>
    <xf numFmtId="172" fontId="1" fillId="2" borderId="1" xfId="1" applyNumberFormat="1"/>
    <xf numFmtId="172" fontId="0" fillId="0" borderId="0" xfId="0" applyNumberFormat="1"/>
    <xf numFmtId="172" fontId="2" fillId="0" borderId="0" xfId="0" applyNumberFormat="1" applyFont="1"/>
    <xf numFmtId="43" fontId="13" fillId="3" borderId="3" xfId="2" applyNumberFormat="1" applyFont="1"/>
    <xf numFmtId="43" fontId="16" fillId="0" borderId="0" xfId="0" applyNumberFormat="1" applyFont="1" applyAlignment="1">
      <alignment horizontal="right"/>
    </xf>
    <xf numFmtId="43" fontId="16" fillId="0" borderId="0" xfId="0" applyNumberFormat="1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43" fontId="21" fillId="5" borderId="3" xfId="0" applyNumberFormat="1" applyFont="1" applyFill="1" applyBorder="1"/>
    <xf numFmtId="0" fontId="2" fillId="0" borderId="5" xfId="0" applyFont="1" applyBorder="1"/>
    <xf numFmtId="3" fontId="18" fillId="0" borderId="0" xfId="0" applyNumberFormat="1" applyFont="1"/>
    <xf numFmtId="4" fontId="20" fillId="0" borderId="0" xfId="0" applyNumberFormat="1" applyFont="1"/>
    <xf numFmtId="173" fontId="22" fillId="0" borderId="0" xfId="0" applyNumberFormat="1" applyFont="1"/>
    <xf numFmtId="10" fontId="1" fillId="2" borderId="0" xfId="3" applyNumberFormat="1" applyFont="1" applyFill="1" applyAlignment="1">
      <alignment horizontal="right"/>
    </xf>
    <xf numFmtId="43" fontId="1" fillId="2" borderId="0" xfId="3" applyNumberFormat="1" applyFont="1" applyFill="1" applyAlignment="1">
      <alignment horizontal="right"/>
    </xf>
    <xf numFmtId="0" fontId="23" fillId="6" borderId="6" xfId="0" applyFont="1" applyFill="1" applyBorder="1" applyAlignment="1">
      <alignment horizontal="center" wrapText="1"/>
    </xf>
    <xf numFmtId="0" fontId="24" fillId="0" borderId="6" xfId="0" applyFont="1" applyBorder="1"/>
    <xf numFmtId="0" fontId="0" fillId="0" borderId="6" xfId="0" applyBorder="1"/>
    <xf numFmtId="0" fontId="25" fillId="0" borderId="6" xfId="0" applyFont="1" applyBorder="1"/>
    <xf numFmtId="0" fontId="6" fillId="0" borderId="0" xfId="0" applyFont="1" applyAlignment="1">
      <alignment horizontal="left" vertical="center"/>
    </xf>
    <xf numFmtId="0" fontId="0" fillId="0" borderId="0" xfId="0"/>
  </cellXfs>
  <cellStyles count="7">
    <cellStyle name="Calculation" xfId="1" builtinId="22"/>
    <cellStyle name="Comma" xfId="4" builtinId="3"/>
    <cellStyle name="Comma 2" xfId="6" xr:uid="{00000000-0005-0000-0000-000006000000}"/>
    <cellStyle name="Normal" xfId="0" builtinId="0"/>
    <cellStyle name="Normal 2" xfId="5" xr:uid="{00000000-0005-0000-0000-000005000000}"/>
    <cellStyle name="Note" xfId="2" builtinId="1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minelens.sharepoint.com/sites/MineSpans/Published%20Documents/20050131_EnvironmentImpactStatementVermontCoal_Mine.pdf" TargetMode="External"/><Relationship Id="rId1" Type="http://schemas.openxmlformats.org/officeDocument/2006/relationships/hyperlink" Target="https://minelens.sharepoint.com/sites/MineSpans/Published%20Documents/20050131_EnvironmentImpactStatementVermontCoal_Mine.pdf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3"/>
  <sheetViews>
    <sheetView workbookViewId="0">
      <pane xSplit="9" ySplit="1" topLeftCell="J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8" customWidth="1"/>
    <col min="4" max="4" width="35" customWidth="1"/>
    <col min="5" max="5" width="45" customWidth="1"/>
    <col min="6" max="6" width="8" customWidth="1"/>
    <col min="7" max="7" width="12" customWidth="1"/>
    <col min="8" max="8" width="30" customWidth="1"/>
    <col min="9" max="9" width="40" customWidth="1"/>
    <col min="10" max="92" width="12" customWidth="1"/>
  </cols>
  <sheetData>
    <row r="1" spans="1:92" ht="30" x14ac:dyDescent="0.2">
      <c r="A1" s="104" t="s">
        <v>285</v>
      </c>
      <c r="B1" s="104" t="s">
        <v>286</v>
      </c>
      <c r="C1" s="104" t="s">
        <v>287</v>
      </c>
      <c r="D1" s="104" t="s">
        <v>288</v>
      </c>
      <c r="E1" s="104" t="s">
        <v>289</v>
      </c>
      <c r="F1" s="104" t="s">
        <v>290</v>
      </c>
      <c r="G1" s="104" t="s">
        <v>291</v>
      </c>
      <c r="H1" s="104" t="s">
        <v>292</v>
      </c>
      <c r="I1" s="104" t="s">
        <v>293</v>
      </c>
      <c r="J1" s="104" t="s">
        <v>294</v>
      </c>
      <c r="K1" s="104" t="s">
        <v>295</v>
      </c>
      <c r="L1" s="104" t="s">
        <v>296</v>
      </c>
      <c r="M1" s="104" t="s">
        <v>297</v>
      </c>
      <c r="N1" s="104" t="s">
        <v>298</v>
      </c>
      <c r="O1" s="104" t="s">
        <v>299</v>
      </c>
      <c r="P1" s="104" t="s">
        <v>300</v>
      </c>
      <c r="Q1" s="104" t="s">
        <v>301</v>
      </c>
      <c r="R1" s="104" t="s">
        <v>302</v>
      </c>
      <c r="S1" s="104" t="s">
        <v>303</v>
      </c>
      <c r="T1" s="104" t="s">
        <v>304</v>
      </c>
      <c r="U1" s="104" t="s">
        <v>305</v>
      </c>
      <c r="V1" s="104" t="s">
        <v>306</v>
      </c>
      <c r="W1" s="104" t="s">
        <v>307</v>
      </c>
      <c r="X1" s="104" t="s">
        <v>308</v>
      </c>
      <c r="Y1" s="104" t="s">
        <v>309</v>
      </c>
      <c r="Z1" s="104" t="s">
        <v>310</v>
      </c>
      <c r="AA1" s="104" t="s">
        <v>311</v>
      </c>
      <c r="AB1" s="104" t="s">
        <v>312</v>
      </c>
      <c r="AC1" s="104" t="s">
        <v>313</v>
      </c>
      <c r="AD1" s="104" t="s">
        <v>314</v>
      </c>
      <c r="AE1" s="104" t="s">
        <v>315</v>
      </c>
      <c r="AF1" s="104" t="s">
        <v>316</v>
      </c>
      <c r="AG1" s="104" t="s">
        <v>317</v>
      </c>
      <c r="AH1" s="104" t="s">
        <v>318</v>
      </c>
      <c r="AI1" s="104" t="s">
        <v>319</v>
      </c>
      <c r="AJ1" s="104" t="s">
        <v>320</v>
      </c>
      <c r="AK1" s="104" t="s">
        <v>321</v>
      </c>
      <c r="AL1" s="104" t="s">
        <v>322</v>
      </c>
      <c r="AM1" s="104" t="s">
        <v>323</v>
      </c>
      <c r="AN1" s="104" t="s">
        <v>324</v>
      </c>
      <c r="AO1" s="104" t="s">
        <v>325</v>
      </c>
      <c r="AP1" s="104" t="s">
        <v>326</v>
      </c>
      <c r="AQ1" s="104" t="s">
        <v>327</v>
      </c>
      <c r="AR1" s="104" t="s">
        <v>328</v>
      </c>
      <c r="AS1" s="104" t="s">
        <v>329</v>
      </c>
      <c r="AT1" s="104" t="s">
        <v>330</v>
      </c>
      <c r="AU1" s="104" t="s">
        <v>331</v>
      </c>
      <c r="AV1" s="104" t="s">
        <v>332</v>
      </c>
      <c r="AW1" s="104" t="s">
        <v>333</v>
      </c>
      <c r="AX1" s="104" t="s">
        <v>334</v>
      </c>
      <c r="AY1" s="104" t="s">
        <v>335</v>
      </c>
      <c r="AZ1" s="104" t="s">
        <v>336</v>
      </c>
      <c r="BA1" s="104" t="s">
        <v>337</v>
      </c>
      <c r="BB1" s="104" t="s">
        <v>338</v>
      </c>
      <c r="BC1" s="104" t="s">
        <v>339</v>
      </c>
      <c r="BD1" s="104" t="s">
        <v>340</v>
      </c>
      <c r="BE1" s="104" t="s">
        <v>341</v>
      </c>
      <c r="BF1" s="104" t="s">
        <v>342</v>
      </c>
      <c r="BG1" s="104" t="s">
        <v>343</v>
      </c>
      <c r="BH1" s="104" t="s">
        <v>344</v>
      </c>
      <c r="BI1" s="104" t="s">
        <v>345</v>
      </c>
      <c r="BJ1" s="104" t="s">
        <v>346</v>
      </c>
      <c r="BK1" s="104" t="s">
        <v>347</v>
      </c>
      <c r="BL1" s="104" t="s">
        <v>348</v>
      </c>
      <c r="BM1" s="104" t="s">
        <v>349</v>
      </c>
      <c r="BN1" s="104" t="s">
        <v>350</v>
      </c>
      <c r="BO1" s="104" t="s">
        <v>351</v>
      </c>
      <c r="BP1" s="104" t="s">
        <v>352</v>
      </c>
      <c r="BQ1" s="104" t="s">
        <v>353</v>
      </c>
      <c r="BR1" s="104" t="s">
        <v>354</v>
      </c>
      <c r="BS1" s="104" t="s">
        <v>355</v>
      </c>
      <c r="BT1" s="104" t="s">
        <v>356</v>
      </c>
      <c r="BU1" s="104" t="s">
        <v>357</v>
      </c>
      <c r="BV1" s="104" t="s">
        <v>358</v>
      </c>
      <c r="BW1" s="104" t="s">
        <v>359</v>
      </c>
      <c r="BX1" s="104" t="s">
        <v>360</v>
      </c>
      <c r="BY1" s="104" t="s">
        <v>361</v>
      </c>
      <c r="BZ1" s="104" t="s">
        <v>362</v>
      </c>
      <c r="CA1" s="104" t="s">
        <v>363</v>
      </c>
      <c r="CB1" s="104" t="s">
        <v>364</v>
      </c>
      <c r="CC1" s="104" t="s">
        <v>365</v>
      </c>
      <c r="CD1" s="104" t="s">
        <v>366</v>
      </c>
      <c r="CE1" s="104" t="s">
        <v>367</v>
      </c>
      <c r="CF1" s="104" t="s">
        <v>368</v>
      </c>
      <c r="CG1" s="104" t="s">
        <v>369</v>
      </c>
      <c r="CH1" s="104" t="s">
        <v>370</v>
      </c>
      <c r="CI1" s="104" t="s">
        <v>371</v>
      </c>
      <c r="CJ1" s="104" t="s">
        <v>372</v>
      </c>
      <c r="CK1" s="104" t="s">
        <v>373</v>
      </c>
      <c r="CL1" s="104" t="s">
        <v>374</v>
      </c>
      <c r="CM1" s="104" t="s">
        <v>375</v>
      </c>
      <c r="CN1" s="104" t="s">
        <v>376</v>
      </c>
    </row>
    <row r="2" spans="1:92" x14ac:dyDescent="0.2">
      <c r="A2" s="105" t="s">
        <v>377</v>
      </c>
      <c r="B2" s="105" t="s">
        <v>378</v>
      </c>
      <c r="C2" s="105">
        <v>10</v>
      </c>
      <c r="D2" s="105" t="s">
        <v>83</v>
      </c>
      <c r="E2" s="105" t="s">
        <v>84</v>
      </c>
      <c r="F2" s="105" t="s">
        <v>85</v>
      </c>
      <c r="G2" s="105">
        <v>100</v>
      </c>
      <c r="H2" s="105" t="s">
        <v>87</v>
      </c>
      <c r="I2" s="105" t="s">
        <v>86</v>
      </c>
      <c r="J2" s="106"/>
      <c r="K2" s="106"/>
      <c r="L2" s="106"/>
      <c r="M2" s="106"/>
      <c r="N2" s="107">
        <v>1.1514</v>
      </c>
      <c r="O2" s="107">
        <v>1.7253000000000001</v>
      </c>
      <c r="P2" s="107">
        <v>1.7523</v>
      </c>
      <c r="Q2" s="107">
        <v>1.6888000000000001</v>
      </c>
      <c r="R2" s="107">
        <v>1.2292000000000001</v>
      </c>
      <c r="S2" s="107">
        <v>1.8446</v>
      </c>
      <c r="T2" s="107">
        <v>2.3184999999999998</v>
      </c>
      <c r="U2" s="107">
        <v>2.1646999999999998</v>
      </c>
      <c r="V2" s="107">
        <v>1.857</v>
      </c>
      <c r="W2" s="107">
        <v>1.7892999999999999</v>
      </c>
      <c r="X2" s="107">
        <v>1.9888999999999999</v>
      </c>
      <c r="Y2" s="107">
        <v>2.2951999999999999</v>
      </c>
      <c r="Z2" s="107">
        <v>1.7482</v>
      </c>
      <c r="AA2" s="107">
        <v>1.8052999999999999</v>
      </c>
      <c r="AB2" s="107">
        <v>1.9389000000000001</v>
      </c>
      <c r="AC2" s="107">
        <v>0.73839999999999995</v>
      </c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7">
        <v>7.4640000000000004</v>
      </c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</row>
    <row r="3" spans="1:92" x14ac:dyDescent="0.2">
      <c r="A3" s="105" t="s">
        <v>379</v>
      </c>
      <c r="B3" s="105" t="s">
        <v>378</v>
      </c>
      <c r="C3" s="105">
        <v>11</v>
      </c>
      <c r="D3" s="105" t="s">
        <v>83</v>
      </c>
      <c r="E3" s="105" t="s">
        <v>93</v>
      </c>
      <c r="F3" s="105" t="s">
        <v>85</v>
      </c>
      <c r="G3" s="105">
        <v>70</v>
      </c>
      <c r="H3" s="105" t="s">
        <v>380</v>
      </c>
      <c r="I3" s="105" t="s">
        <v>94</v>
      </c>
      <c r="J3" s="106"/>
      <c r="K3" s="106"/>
      <c r="L3" s="106"/>
      <c r="M3" s="106"/>
      <c r="N3" s="107">
        <v>1.4155</v>
      </c>
      <c r="O3" s="107">
        <v>1.4611000000000001</v>
      </c>
      <c r="P3" s="107">
        <v>1.6060000000000001</v>
      </c>
      <c r="Q3" s="107">
        <v>1.5788</v>
      </c>
      <c r="R3" s="107">
        <v>1.9047000000000001</v>
      </c>
      <c r="S3" s="107">
        <v>1.8474999999999999</v>
      </c>
      <c r="T3" s="107">
        <v>1.8163</v>
      </c>
      <c r="U3" s="107">
        <v>2.0743</v>
      </c>
      <c r="V3" s="107">
        <v>2.2591000000000001</v>
      </c>
      <c r="W3" s="107">
        <v>1.7935000000000001</v>
      </c>
      <c r="X3" s="107">
        <v>2.3532999999999999</v>
      </c>
      <c r="Y3" s="107">
        <v>2.2837999999999998</v>
      </c>
      <c r="Z3" s="107">
        <v>1.76</v>
      </c>
      <c r="AA3" s="107">
        <v>2.2054</v>
      </c>
      <c r="AB3" s="107">
        <v>1.6373</v>
      </c>
      <c r="AC3" s="107">
        <v>1.2302</v>
      </c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7">
        <v>6.0224000000000002</v>
      </c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</row>
    <row r="4" spans="1:92" x14ac:dyDescent="0.2">
      <c r="A4" s="105" t="s">
        <v>381</v>
      </c>
      <c r="B4" s="105" t="s">
        <v>378</v>
      </c>
      <c r="C4" s="105">
        <v>12</v>
      </c>
      <c r="D4" s="105" t="s">
        <v>83</v>
      </c>
      <c r="E4" s="105" t="s">
        <v>98</v>
      </c>
      <c r="F4" s="105" t="s">
        <v>85</v>
      </c>
      <c r="G4" s="105">
        <v>51</v>
      </c>
      <c r="H4" s="105" t="s">
        <v>380</v>
      </c>
      <c r="I4" s="105" t="s">
        <v>94</v>
      </c>
      <c r="J4" s="106"/>
      <c r="K4" s="106"/>
      <c r="L4" s="106"/>
      <c r="M4" s="106"/>
      <c r="N4" s="107">
        <v>0.75260000000000005</v>
      </c>
      <c r="O4" s="107">
        <v>1.0770999999999999</v>
      </c>
      <c r="P4" s="107">
        <v>0.99329999999999996</v>
      </c>
      <c r="Q4" s="107">
        <v>1.1627000000000001</v>
      </c>
      <c r="R4" s="107">
        <v>1.0227999999999999</v>
      </c>
      <c r="S4" s="107">
        <v>1.1012</v>
      </c>
      <c r="T4" s="107">
        <v>1.0414000000000001</v>
      </c>
      <c r="U4" s="107">
        <v>1.0748</v>
      </c>
      <c r="V4" s="107">
        <v>0.66379999999999995</v>
      </c>
      <c r="W4" s="107">
        <v>1.3754999999999999</v>
      </c>
      <c r="X4" s="107">
        <v>1.2494000000000001</v>
      </c>
      <c r="Y4" s="107">
        <v>1.0258</v>
      </c>
      <c r="Z4" s="107">
        <v>1.006</v>
      </c>
      <c r="AA4" s="107">
        <v>1.1437999999999999</v>
      </c>
      <c r="AB4" s="107">
        <v>1.1859</v>
      </c>
      <c r="AC4" s="107">
        <v>1.2729999999999999</v>
      </c>
      <c r="AD4" s="107">
        <v>1.0921000000000001</v>
      </c>
      <c r="AE4" s="107">
        <v>1.0468</v>
      </c>
      <c r="AF4" s="107">
        <v>1.0127999999999999</v>
      </c>
      <c r="AG4" s="107">
        <v>0.63049999999999995</v>
      </c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7">
        <v>4.5934999999999997</v>
      </c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</row>
    <row r="5" spans="1:92" x14ac:dyDescent="0.2">
      <c r="A5" s="105" t="s">
        <v>382</v>
      </c>
      <c r="B5" s="105" t="s">
        <v>378</v>
      </c>
      <c r="C5" s="105">
        <v>13</v>
      </c>
      <c r="D5" s="105" t="s">
        <v>83</v>
      </c>
      <c r="E5" s="105" t="s">
        <v>99</v>
      </c>
      <c r="F5" s="105" t="s">
        <v>85</v>
      </c>
      <c r="G5" s="105">
        <v>88</v>
      </c>
      <c r="H5" s="105" t="s">
        <v>380</v>
      </c>
      <c r="I5" s="105" t="s">
        <v>100</v>
      </c>
      <c r="J5" s="106"/>
      <c r="K5" s="106"/>
      <c r="L5" s="106"/>
      <c r="M5" s="106"/>
      <c r="N5" s="107">
        <v>0.89339999999999997</v>
      </c>
      <c r="O5" s="107">
        <v>0.78500000000000003</v>
      </c>
      <c r="P5" s="107">
        <v>1.0559000000000001</v>
      </c>
      <c r="Q5" s="107">
        <v>0.97640000000000005</v>
      </c>
      <c r="R5" s="107">
        <v>0.65910000000000002</v>
      </c>
      <c r="S5" s="107">
        <v>0.70850000000000002</v>
      </c>
      <c r="T5" s="107">
        <v>0.81699999999999995</v>
      </c>
      <c r="U5" s="107">
        <v>0.92020000000000002</v>
      </c>
      <c r="V5" s="107">
        <v>0.70750000000000002</v>
      </c>
      <c r="W5" s="107">
        <v>0.46279999999999999</v>
      </c>
      <c r="X5" s="107">
        <v>0.60040000000000004</v>
      </c>
      <c r="Y5" s="107">
        <v>0.3513</v>
      </c>
      <c r="Z5" s="107">
        <v>0.34989999999999999</v>
      </c>
      <c r="AA5" s="107">
        <v>0.41820000000000002</v>
      </c>
      <c r="AB5" s="107">
        <v>0.31709999999999999</v>
      </c>
      <c r="AC5" s="107">
        <v>8.2299999999999998E-2</v>
      </c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7">
        <v>3.6633</v>
      </c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</row>
    <row r="6" spans="1:92" x14ac:dyDescent="0.2">
      <c r="A6" s="105" t="s">
        <v>383</v>
      </c>
      <c r="B6" s="105" t="s">
        <v>378</v>
      </c>
      <c r="C6" s="105">
        <v>14</v>
      </c>
      <c r="D6" s="105" t="s">
        <v>83</v>
      </c>
      <c r="E6" s="105" t="s">
        <v>101</v>
      </c>
      <c r="F6" s="105" t="s">
        <v>85</v>
      </c>
      <c r="G6" s="105">
        <v>70</v>
      </c>
      <c r="H6" s="105" t="s">
        <v>87</v>
      </c>
      <c r="I6" s="105" t="s">
        <v>102</v>
      </c>
      <c r="J6" s="106"/>
      <c r="K6" s="106"/>
      <c r="L6" s="106"/>
      <c r="M6" s="106"/>
      <c r="N6" s="107">
        <v>0.52800000000000002</v>
      </c>
      <c r="O6" s="107">
        <v>0.47570000000000001</v>
      </c>
      <c r="P6" s="107">
        <v>0.54100000000000004</v>
      </c>
      <c r="Q6" s="107">
        <v>0.4219</v>
      </c>
      <c r="R6" s="107">
        <v>0.43290000000000001</v>
      </c>
      <c r="S6" s="107">
        <v>0.47120000000000001</v>
      </c>
      <c r="T6" s="107">
        <v>0.55120000000000002</v>
      </c>
      <c r="U6" s="107">
        <v>0.57920000000000005</v>
      </c>
      <c r="V6" s="107">
        <v>0.4783</v>
      </c>
      <c r="W6" s="107">
        <v>0.51119999999999999</v>
      </c>
      <c r="X6" s="107">
        <v>0.49480000000000002</v>
      </c>
      <c r="Y6" s="107">
        <v>0.37630000000000002</v>
      </c>
      <c r="Z6" s="107">
        <v>0.4345</v>
      </c>
      <c r="AA6" s="107">
        <v>0.56599999999999995</v>
      </c>
      <c r="AB6" s="107">
        <v>0.43890000000000001</v>
      </c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7">
        <v>1.8959999999999999</v>
      </c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</row>
    <row r="7" spans="1:92" x14ac:dyDescent="0.2">
      <c r="A7" s="105" t="s">
        <v>384</v>
      </c>
      <c r="B7" s="105" t="s">
        <v>378</v>
      </c>
      <c r="C7" s="105">
        <v>15</v>
      </c>
      <c r="D7" s="105" t="s">
        <v>83</v>
      </c>
      <c r="E7" s="105" t="s">
        <v>103</v>
      </c>
      <c r="F7" s="105" t="s">
        <v>85</v>
      </c>
      <c r="G7" s="105">
        <v>23.3</v>
      </c>
      <c r="H7" s="105" t="s">
        <v>380</v>
      </c>
      <c r="I7" s="105" t="s">
        <v>94</v>
      </c>
      <c r="J7" s="106"/>
      <c r="K7" s="106"/>
      <c r="L7" s="106"/>
      <c r="M7" s="106"/>
      <c r="N7" s="107">
        <v>0.47720000000000001</v>
      </c>
      <c r="O7" s="107">
        <v>0.61</v>
      </c>
      <c r="P7" s="107">
        <v>0.6734</v>
      </c>
      <c r="Q7" s="107">
        <v>0.75590000000000002</v>
      </c>
      <c r="R7" s="107">
        <v>0.67749999999999999</v>
      </c>
      <c r="S7" s="107">
        <v>0.75629999999999997</v>
      </c>
      <c r="T7" s="107">
        <v>0.73280000000000001</v>
      </c>
      <c r="U7" s="107">
        <v>0.7571</v>
      </c>
      <c r="V7" s="107">
        <v>0.76390000000000002</v>
      </c>
      <c r="W7" s="107">
        <v>0.76639999999999997</v>
      </c>
      <c r="X7" s="107">
        <v>0.7984</v>
      </c>
      <c r="Y7" s="107">
        <v>0.87270000000000003</v>
      </c>
      <c r="Z7" s="107">
        <v>0.75839999999999996</v>
      </c>
      <c r="AA7" s="107">
        <v>0.8216</v>
      </c>
      <c r="AB7" s="107">
        <v>0.82020000000000004</v>
      </c>
      <c r="AC7" s="107">
        <v>0.8821</v>
      </c>
      <c r="AD7" s="107">
        <v>0.71799999999999997</v>
      </c>
      <c r="AE7" s="107">
        <v>0.84030000000000005</v>
      </c>
      <c r="AF7" s="107">
        <v>0.8367</v>
      </c>
      <c r="AG7" s="107">
        <v>0.86060000000000003</v>
      </c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7">
        <v>2.0731999999999999</v>
      </c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</row>
    <row r="8" spans="1:92" x14ac:dyDescent="0.2">
      <c r="A8" s="105" t="s">
        <v>385</v>
      </c>
      <c r="B8" s="105" t="s">
        <v>378</v>
      </c>
      <c r="C8" s="105">
        <v>16</v>
      </c>
      <c r="D8" s="105" t="s">
        <v>83</v>
      </c>
      <c r="E8" s="105" t="s">
        <v>104</v>
      </c>
      <c r="F8" s="105" t="s">
        <v>85</v>
      </c>
      <c r="G8" s="105">
        <v>88</v>
      </c>
      <c r="H8" s="105" t="s">
        <v>87</v>
      </c>
      <c r="I8" s="105" t="s">
        <v>94</v>
      </c>
      <c r="J8" s="106"/>
      <c r="K8" s="106"/>
      <c r="L8" s="106"/>
      <c r="M8" s="106"/>
      <c r="N8" s="107">
        <v>1.4998</v>
      </c>
      <c r="O8" s="107">
        <v>1.0513999999999999</v>
      </c>
      <c r="P8" s="107">
        <v>1.3005</v>
      </c>
      <c r="Q8" s="107">
        <v>1.0648</v>
      </c>
      <c r="R8" s="107">
        <v>1.6942999999999999</v>
      </c>
      <c r="S8" s="107">
        <v>0.43459999999999999</v>
      </c>
      <c r="T8" s="107">
        <v>1.0619000000000001</v>
      </c>
      <c r="U8" s="107">
        <v>1.0278</v>
      </c>
      <c r="V8" s="107">
        <v>1.2976000000000001</v>
      </c>
      <c r="W8" s="107">
        <v>1.3811</v>
      </c>
      <c r="X8" s="107">
        <v>1.0099</v>
      </c>
      <c r="Y8" s="107">
        <v>1.2332000000000001</v>
      </c>
      <c r="Z8" s="107">
        <v>0.82489999999999997</v>
      </c>
      <c r="AA8" s="107">
        <v>1.0155000000000001</v>
      </c>
      <c r="AB8" s="107">
        <v>1.2773000000000001</v>
      </c>
      <c r="AC8" s="107">
        <v>1.9483999999999999</v>
      </c>
      <c r="AD8" s="107">
        <v>1.4160999999999999</v>
      </c>
      <c r="AE8" s="107">
        <v>0.68859999999999999</v>
      </c>
      <c r="AF8" s="107">
        <v>1.3168</v>
      </c>
      <c r="AG8" s="107">
        <v>1.9798</v>
      </c>
      <c r="AH8" s="107">
        <v>1.9367000000000001</v>
      </c>
      <c r="AI8" s="107">
        <v>1.0643</v>
      </c>
      <c r="AJ8" s="107">
        <v>1.2758</v>
      </c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7">
        <v>3.5455000000000001</v>
      </c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</row>
    <row r="9" spans="1:92" x14ac:dyDescent="0.2">
      <c r="A9" s="105" t="s">
        <v>386</v>
      </c>
      <c r="B9" s="105" t="s">
        <v>378</v>
      </c>
      <c r="C9" s="105">
        <v>17</v>
      </c>
      <c r="D9" s="105" t="s">
        <v>83</v>
      </c>
      <c r="E9" s="105" t="s">
        <v>105</v>
      </c>
      <c r="F9" s="105" t="s">
        <v>85</v>
      </c>
      <c r="G9" s="105">
        <v>100</v>
      </c>
      <c r="H9" s="105" t="s">
        <v>87</v>
      </c>
      <c r="I9" s="105" t="s">
        <v>106</v>
      </c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7">
        <v>5.16E-2</v>
      </c>
      <c r="W9" s="107">
        <v>0.12180000000000001</v>
      </c>
      <c r="X9" s="107">
        <v>0.14729999999999999</v>
      </c>
      <c r="Y9" s="107">
        <v>0.17910000000000001</v>
      </c>
      <c r="Z9" s="107">
        <v>0.20300000000000001</v>
      </c>
      <c r="AA9" s="107">
        <v>0.33119999999999999</v>
      </c>
      <c r="AB9" s="107">
        <v>0.68569999999999998</v>
      </c>
      <c r="AC9" s="107">
        <v>0.53910000000000002</v>
      </c>
      <c r="AD9" s="107">
        <v>0.70979999999999999</v>
      </c>
      <c r="AE9" s="107">
        <v>0.18360000000000001</v>
      </c>
      <c r="AF9" s="107">
        <v>1.0125</v>
      </c>
      <c r="AG9" s="107">
        <v>0.1613</v>
      </c>
      <c r="AH9" s="107">
        <v>0.8256</v>
      </c>
      <c r="AI9" s="107">
        <v>1.3420000000000001</v>
      </c>
      <c r="AJ9" s="107">
        <v>1.2398</v>
      </c>
      <c r="AK9" s="107">
        <v>0.35610000000000003</v>
      </c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7">
        <v>3.7635000000000001</v>
      </c>
      <c r="CI9" s="106"/>
      <c r="CJ9" s="106"/>
      <c r="CK9" s="106"/>
      <c r="CL9" s="106"/>
      <c r="CM9" s="106"/>
      <c r="CN9" s="106"/>
    </row>
    <row r="10" spans="1:92" x14ac:dyDescent="0.2">
      <c r="A10" s="105" t="s">
        <v>387</v>
      </c>
      <c r="B10" s="105" t="s">
        <v>378</v>
      </c>
      <c r="C10" s="105">
        <v>19</v>
      </c>
      <c r="D10" s="105" t="s">
        <v>83</v>
      </c>
      <c r="E10" s="105" t="s">
        <v>108</v>
      </c>
      <c r="F10" s="105" t="s">
        <v>85</v>
      </c>
      <c r="G10" s="105"/>
      <c r="H10" s="105"/>
      <c r="I10" s="105"/>
      <c r="J10" s="106"/>
      <c r="K10" s="106"/>
      <c r="L10" s="106"/>
      <c r="M10" s="107">
        <v>1.6894</v>
      </c>
      <c r="N10" s="107">
        <v>1.4938</v>
      </c>
      <c r="O10" s="107">
        <v>1.5130999999999999</v>
      </c>
      <c r="P10" s="107">
        <v>1.6724000000000001</v>
      </c>
      <c r="Q10" s="107">
        <v>1.5847</v>
      </c>
      <c r="R10" s="107">
        <v>0.76929999999999998</v>
      </c>
      <c r="S10" s="107">
        <v>9.5839999999999996</v>
      </c>
      <c r="T10" s="107">
        <v>1.5746</v>
      </c>
      <c r="U10" s="107">
        <v>1.8715999999999999</v>
      </c>
      <c r="V10" s="107">
        <v>1.4332</v>
      </c>
      <c r="W10" s="107">
        <v>1.3266</v>
      </c>
      <c r="X10" s="107">
        <v>1.3664000000000001</v>
      </c>
      <c r="Y10" s="107">
        <v>1.1543000000000001</v>
      </c>
      <c r="Z10" s="107">
        <v>1.0659000000000001</v>
      </c>
      <c r="AA10" s="107">
        <v>1.107</v>
      </c>
      <c r="AB10" s="107">
        <v>1.1127</v>
      </c>
      <c r="AC10" s="107">
        <v>0.67190000000000005</v>
      </c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</row>
    <row r="11" spans="1:92" x14ac:dyDescent="0.2">
      <c r="A11" s="105" t="s">
        <v>388</v>
      </c>
      <c r="B11" s="105" t="s">
        <v>378</v>
      </c>
      <c r="C11" s="105">
        <v>20</v>
      </c>
      <c r="D11" s="105" t="s">
        <v>83</v>
      </c>
      <c r="E11" s="105" t="s">
        <v>109</v>
      </c>
      <c r="F11" s="105" t="s">
        <v>85</v>
      </c>
      <c r="G11" s="105"/>
      <c r="H11" s="105"/>
      <c r="I11" s="105"/>
      <c r="J11" s="106"/>
      <c r="K11" s="106"/>
      <c r="L11" s="106"/>
      <c r="M11" s="107">
        <v>2.0253000000000001</v>
      </c>
      <c r="N11" s="107">
        <v>1.073</v>
      </c>
      <c r="O11" s="107">
        <v>1.7253000000000001</v>
      </c>
      <c r="P11" s="107">
        <v>1.7523</v>
      </c>
      <c r="Q11" s="107">
        <v>1.6888000000000001</v>
      </c>
      <c r="R11" s="107">
        <v>1.2279</v>
      </c>
      <c r="S11" s="107">
        <v>1.8460000000000001</v>
      </c>
      <c r="T11" s="107">
        <v>2.0743999999999998</v>
      </c>
      <c r="U11" s="107">
        <v>1.9662999999999999</v>
      </c>
      <c r="V11" s="107">
        <v>1.6498999999999999</v>
      </c>
      <c r="W11" s="107">
        <v>1.6224000000000001</v>
      </c>
      <c r="X11" s="107">
        <v>1.8005</v>
      </c>
      <c r="Y11" s="107">
        <v>1.9787999999999999</v>
      </c>
      <c r="Z11" s="107">
        <v>1.4928999999999999</v>
      </c>
      <c r="AA11" s="107">
        <v>1.7166999999999999</v>
      </c>
      <c r="AB11" s="107">
        <v>1.6819999999999999</v>
      </c>
      <c r="AC11" s="107">
        <v>0.66180000000000005</v>
      </c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</row>
    <row r="12" spans="1:92" x14ac:dyDescent="0.2">
      <c r="A12" s="105" t="s">
        <v>389</v>
      </c>
      <c r="B12" s="105" t="s">
        <v>378</v>
      </c>
      <c r="C12" s="105">
        <v>21</v>
      </c>
      <c r="D12" s="105" t="s">
        <v>83</v>
      </c>
      <c r="E12" s="105" t="s">
        <v>110</v>
      </c>
      <c r="F12" s="105" t="s">
        <v>85</v>
      </c>
      <c r="G12" s="105"/>
      <c r="H12" s="105"/>
      <c r="I12" s="105" t="s">
        <v>111</v>
      </c>
      <c r="J12" s="107">
        <v>2.5706000000000002</v>
      </c>
      <c r="K12" s="107">
        <v>3.2863000000000002</v>
      </c>
      <c r="L12" s="107">
        <v>3.3988999999999998</v>
      </c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7">
        <v>0.47899999999999998</v>
      </c>
      <c r="AE12" s="107">
        <v>0.30470000000000003</v>
      </c>
      <c r="AF12" s="107">
        <v>0.4214</v>
      </c>
      <c r="AG12" s="107">
        <v>0.40860000000000002</v>
      </c>
      <c r="AH12" s="107">
        <v>0.2087</v>
      </c>
      <c r="AI12" s="107">
        <v>0.28989999999999999</v>
      </c>
      <c r="AJ12" s="107">
        <v>0.4551</v>
      </c>
      <c r="AK12" s="107">
        <v>0.42759999999999998</v>
      </c>
      <c r="AL12" s="107">
        <v>0.33850000000000002</v>
      </c>
      <c r="AM12" s="107">
        <v>0.2452</v>
      </c>
      <c r="AN12" s="107">
        <v>0.43790000000000001</v>
      </c>
      <c r="AO12" s="107">
        <v>0.38919999999999999</v>
      </c>
      <c r="AP12" s="107">
        <v>0.4032</v>
      </c>
      <c r="AQ12" s="107">
        <v>0.46800000000000003</v>
      </c>
      <c r="AR12" s="107">
        <v>0.58699999999999997</v>
      </c>
      <c r="AS12" s="107">
        <v>0.56230000000000002</v>
      </c>
      <c r="AT12" s="107">
        <v>0.37240000000000001</v>
      </c>
      <c r="AU12" s="107">
        <v>0.51900000000000002</v>
      </c>
      <c r="AV12" s="107">
        <v>0.44379999999999997</v>
      </c>
      <c r="AW12" s="107">
        <v>0.34179999999999999</v>
      </c>
      <c r="AX12" s="107">
        <v>0.4274</v>
      </c>
      <c r="AY12" s="107">
        <v>0.3659</v>
      </c>
      <c r="AZ12" s="107">
        <v>0.42399999999999999</v>
      </c>
      <c r="BA12" s="107">
        <v>0.42749999999999999</v>
      </c>
      <c r="BB12" s="107">
        <v>0.28399999999999997</v>
      </c>
      <c r="BC12" s="107">
        <v>0.48099999999999998</v>
      </c>
      <c r="BD12" s="107">
        <v>0.28399999999999997</v>
      </c>
      <c r="BE12" s="107">
        <v>3.4000000000000002E-2</v>
      </c>
      <c r="BF12" s="107">
        <v>0.32400000000000001</v>
      </c>
      <c r="BG12" s="107">
        <v>0.14199999999999999</v>
      </c>
      <c r="BH12" s="107">
        <v>0.249</v>
      </c>
      <c r="BI12" s="107">
        <v>0.39600000000000002</v>
      </c>
      <c r="BJ12" s="107">
        <v>0.24399999999999999</v>
      </c>
      <c r="BK12" s="107">
        <v>0.29799999999999999</v>
      </c>
      <c r="BL12" s="107">
        <v>0.26900000000000002</v>
      </c>
      <c r="BM12" s="107">
        <v>0.41299999999999998</v>
      </c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</row>
    <row r="13" spans="1:92" x14ac:dyDescent="0.2">
      <c r="A13" s="105" t="s">
        <v>381</v>
      </c>
      <c r="B13" s="105" t="s">
        <v>378</v>
      </c>
      <c r="C13" s="105">
        <v>24</v>
      </c>
      <c r="D13" s="105" t="s">
        <v>83</v>
      </c>
      <c r="E13" s="105" t="s">
        <v>98</v>
      </c>
      <c r="F13" s="105" t="s">
        <v>85</v>
      </c>
      <c r="G13" s="105"/>
      <c r="H13" s="105"/>
      <c r="I13" s="105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7">
        <v>11.672969999999999</v>
      </c>
      <c r="CF13" s="107">
        <v>12.040414</v>
      </c>
      <c r="CG13" s="107">
        <v>10.022541</v>
      </c>
      <c r="CH13" s="107">
        <v>9.3513800000000007</v>
      </c>
      <c r="CI13" s="107">
        <v>10.27</v>
      </c>
      <c r="CJ13" s="107">
        <v>9.5085239999999995</v>
      </c>
      <c r="CK13" s="106"/>
      <c r="CL13" s="106"/>
      <c r="CM13" s="106"/>
      <c r="CN13" s="106"/>
    </row>
    <row r="14" spans="1:92" x14ac:dyDescent="0.2">
      <c r="A14" s="105" t="s">
        <v>390</v>
      </c>
      <c r="B14" s="105" t="s">
        <v>378</v>
      </c>
      <c r="C14" s="105">
        <v>25</v>
      </c>
      <c r="D14" s="105" t="s">
        <v>83</v>
      </c>
      <c r="E14" s="105" t="s">
        <v>122</v>
      </c>
      <c r="F14" s="105" t="s">
        <v>85</v>
      </c>
      <c r="G14" s="105"/>
      <c r="H14" s="105"/>
      <c r="I14" s="105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7">
        <v>11.084524999999999</v>
      </c>
      <c r="CF14" s="107">
        <v>11.056229999999999</v>
      </c>
      <c r="CG14" s="107">
        <v>10.828616</v>
      </c>
      <c r="CH14" s="107">
        <v>11.132</v>
      </c>
      <c r="CI14" s="107">
        <v>11.16</v>
      </c>
      <c r="CJ14" s="106"/>
      <c r="CK14" s="107">
        <v>11.476069000000001</v>
      </c>
      <c r="CL14" s="107">
        <v>10.948135000000001</v>
      </c>
      <c r="CM14" s="107">
        <v>11.023168</v>
      </c>
      <c r="CN14" s="107">
        <v>10.840263</v>
      </c>
    </row>
    <row r="15" spans="1:92" x14ac:dyDescent="0.2">
      <c r="A15" s="105" t="s">
        <v>391</v>
      </c>
      <c r="B15" s="105" t="s">
        <v>378</v>
      </c>
      <c r="C15" s="105">
        <v>33</v>
      </c>
      <c r="D15" s="105" t="s">
        <v>130</v>
      </c>
      <c r="E15" s="105" t="s">
        <v>131</v>
      </c>
      <c r="F15" s="105" t="s">
        <v>126</v>
      </c>
      <c r="G15" s="105"/>
      <c r="H15" s="105"/>
      <c r="I15" s="105"/>
      <c r="J15" s="107">
        <v>0.7</v>
      </c>
      <c r="K15" s="107">
        <v>0.7</v>
      </c>
      <c r="L15" s="107">
        <v>0.7</v>
      </c>
      <c r="M15" s="107">
        <v>0.7</v>
      </c>
      <c r="N15" s="107">
        <v>0.7</v>
      </c>
      <c r="O15" s="107">
        <v>0.7</v>
      </c>
      <c r="P15" s="107">
        <v>0.7</v>
      </c>
      <c r="Q15" s="107">
        <v>0.7</v>
      </c>
      <c r="R15" s="107">
        <v>0.7</v>
      </c>
      <c r="S15" s="107">
        <v>0.7</v>
      </c>
      <c r="T15" s="107">
        <v>0.7</v>
      </c>
      <c r="U15" s="107">
        <v>0.7</v>
      </c>
      <c r="V15" s="107">
        <v>0.7</v>
      </c>
      <c r="W15" s="107">
        <v>0.7</v>
      </c>
      <c r="X15" s="107">
        <v>0.7</v>
      </c>
      <c r="Y15" s="107">
        <v>0.7</v>
      </c>
      <c r="Z15" s="107">
        <v>0.7</v>
      </c>
      <c r="AA15" s="107">
        <v>0.7</v>
      </c>
      <c r="AB15" s="107">
        <v>0.7</v>
      </c>
      <c r="AC15" s="107">
        <v>0.7</v>
      </c>
      <c r="AD15" s="107">
        <v>0.7</v>
      </c>
      <c r="AE15" s="107">
        <v>0.7</v>
      </c>
      <c r="AF15" s="107">
        <v>0.7</v>
      </c>
      <c r="AG15" s="107">
        <v>0.7</v>
      </c>
      <c r="AH15" s="107">
        <v>0.7</v>
      </c>
      <c r="AI15" s="107">
        <v>0.7</v>
      </c>
      <c r="AJ15" s="107">
        <v>0.7</v>
      </c>
      <c r="AK15" s="107">
        <v>0.7</v>
      </c>
      <c r="AL15" s="107">
        <v>0.7</v>
      </c>
      <c r="AM15" s="107">
        <v>0.7</v>
      </c>
      <c r="AN15" s="107">
        <v>0.7</v>
      </c>
      <c r="AO15" s="107">
        <v>0.7</v>
      </c>
      <c r="AP15" s="107">
        <v>0.7</v>
      </c>
      <c r="AQ15" s="107">
        <v>0.7</v>
      </c>
      <c r="AR15" s="107">
        <v>0.7</v>
      </c>
      <c r="AS15" s="107">
        <v>0.7</v>
      </c>
      <c r="AT15" s="107">
        <v>0.7</v>
      </c>
      <c r="AU15" s="107">
        <v>0.7</v>
      </c>
      <c r="AV15" s="107">
        <v>0.7</v>
      </c>
      <c r="AW15" s="107">
        <v>0.7</v>
      </c>
      <c r="AX15" s="107">
        <v>0.7</v>
      </c>
      <c r="AY15" s="107">
        <v>0.7</v>
      </c>
      <c r="AZ15" s="107">
        <v>0.7</v>
      </c>
      <c r="BA15" s="107">
        <v>0.7</v>
      </c>
      <c r="BB15" s="107">
        <v>0.7</v>
      </c>
      <c r="BC15" s="107">
        <v>0.7</v>
      </c>
      <c r="BD15" s="107">
        <v>0.7</v>
      </c>
      <c r="BE15" s="107">
        <v>0.7</v>
      </c>
      <c r="BF15" s="107">
        <v>0.7</v>
      </c>
      <c r="BG15" s="107">
        <v>0.7</v>
      </c>
      <c r="BH15" s="107">
        <v>0.7</v>
      </c>
      <c r="BI15" s="107">
        <v>0.7</v>
      </c>
      <c r="BJ15" s="107">
        <v>0.7</v>
      </c>
      <c r="BK15" s="107">
        <v>0.7</v>
      </c>
      <c r="BL15" s="107">
        <v>0.7</v>
      </c>
      <c r="BM15" s="107">
        <v>0.7</v>
      </c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</row>
    <row r="16" spans="1:92" x14ac:dyDescent="0.2">
      <c r="A16" s="105" t="s">
        <v>392</v>
      </c>
      <c r="B16" s="105" t="s">
        <v>378</v>
      </c>
      <c r="C16" s="105">
        <v>34</v>
      </c>
      <c r="D16" s="105" t="s">
        <v>130</v>
      </c>
      <c r="E16" s="105" t="s">
        <v>84</v>
      </c>
      <c r="F16" s="105" t="s">
        <v>126</v>
      </c>
      <c r="G16" s="105"/>
      <c r="H16" s="105"/>
      <c r="I16" s="105"/>
      <c r="J16" s="107">
        <v>1</v>
      </c>
      <c r="K16" s="107">
        <v>1</v>
      </c>
      <c r="L16" s="107">
        <v>1</v>
      </c>
      <c r="M16" s="107">
        <v>1</v>
      </c>
      <c r="N16" s="107">
        <v>1</v>
      </c>
      <c r="O16" s="107">
        <v>1</v>
      </c>
      <c r="P16" s="107">
        <v>1</v>
      </c>
      <c r="Q16" s="107">
        <v>1</v>
      </c>
      <c r="R16" s="107">
        <v>1</v>
      </c>
      <c r="S16" s="107">
        <v>1</v>
      </c>
      <c r="T16" s="107">
        <v>1</v>
      </c>
      <c r="U16" s="107">
        <v>1</v>
      </c>
      <c r="V16" s="107">
        <v>1</v>
      </c>
      <c r="W16" s="107">
        <v>1</v>
      </c>
      <c r="X16" s="107">
        <v>1</v>
      </c>
      <c r="Y16" s="107">
        <v>1</v>
      </c>
      <c r="Z16" s="107">
        <v>1</v>
      </c>
      <c r="AA16" s="107">
        <v>1</v>
      </c>
      <c r="AB16" s="107">
        <v>1</v>
      </c>
      <c r="AC16" s="107">
        <v>1</v>
      </c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6"/>
      <c r="CL16" s="106"/>
      <c r="CM16" s="106"/>
      <c r="CN16" s="106"/>
    </row>
    <row r="17" spans="1:92" x14ac:dyDescent="0.2">
      <c r="A17" s="105" t="s">
        <v>393</v>
      </c>
      <c r="B17" s="105" t="s">
        <v>378</v>
      </c>
      <c r="C17" s="105">
        <v>35</v>
      </c>
      <c r="D17" s="105" t="s">
        <v>130</v>
      </c>
      <c r="E17" s="105" t="s">
        <v>98</v>
      </c>
      <c r="F17" s="105" t="s">
        <v>126</v>
      </c>
      <c r="G17" s="105"/>
      <c r="H17" s="105"/>
      <c r="I17" s="105"/>
      <c r="J17" s="107">
        <v>0.51</v>
      </c>
      <c r="K17" s="107">
        <v>0.51</v>
      </c>
      <c r="L17" s="107">
        <v>0.51</v>
      </c>
      <c r="M17" s="107">
        <v>0.51</v>
      </c>
      <c r="N17" s="107">
        <v>0.51</v>
      </c>
      <c r="O17" s="107">
        <v>0.51</v>
      </c>
      <c r="P17" s="107">
        <v>0.51</v>
      </c>
      <c r="Q17" s="107">
        <v>0.51</v>
      </c>
      <c r="R17" s="107">
        <v>0.51</v>
      </c>
      <c r="S17" s="107">
        <v>0.51</v>
      </c>
      <c r="T17" s="107">
        <v>0.51</v>
      </c>
      <c r="U17" s="107">
        <v>0.51</v>
      </c>
      <c r="V17" s="107">
        <v>0.51</v>
      </c>
      <c r="W17" s="107">
        <v>0.51</v>
      </c>
      <c r="X17" s="107">
        <v>0.51</v>
      </c>
      <c r="Y17" s="107">
        <v>0.51</v>
      </c>
      <c r="Z17" s="107">
        <v>0.51</v>
      </c>
      <c r="AA17" s="107">
        <v>0.51</v>
      </c>
      <c r="AB17" s="107">
        <v>0.51</v>
      </c>
      <c r="AC17" s="107">
        <v>0.51</v>
      </c>
      <c r="AD17" s="107">
        <v>0.51</v>
      </c>
      <c r="AE17" s="107">
        <v>0.51</v>
      </c>
      <c r="AF17" s="107">
        <v>0.51</v>
      </c>
      <c r="AG17" s="107">
        <v>0.51</v>
      </c>
      <c r="AH17" s="107">
        <v>0.51</v>
      </c>
      <c r="AI17" s="107">
        <v>0.51</v>
      </c>
      <c r="AJ17" s="107">
        <v>0.51</v>
      </c>
      <c r="AK17" s="107">
        <v>0.51</v>
      </c>
      <c r="AL17" s="107">
        <v>0.51</v>
      </c>
      <c r="AM17" s="107">
        <v>0.51</v>
      </c>
      <c r="AN17" s="107">
        <v>0.51</v>
      </c>
      <c r="AO17" s="107">
        <v>0.51</v>
      </c>
      <c r="AP17" s="107">
        <v>0.51</v>
      </c>
      <c r="AQ17" s="107">
        <v>0.51</v>
      </c>
      <c r="AR17" s="107">
        <v>0.51</v>
      </c>
      <c r="AS17" s="107">
        <v>0.51</v>
      </c>
      <c r="AT17" s="107">
        <v>0.51</v>
      </c>
      <c r="AU17" s="107">
        <v>0.51</v>
      </c>
      <c r="AV17" s="107">
        <v>0.51</v>
      </c>
      <c r="AW17" s="107">
        <v>0.51</v>
      </c>
      <c r="AX17" s="107">
        <v>0.51</v>
      </c>
      <c r="AY17" s="107">
        <v>0.51</v>
      </c>
      <c r="AZ17" s="107">
        <v>0.51</v>
      </c>
      <c r="BA17" s="107">
        <v>0.51</v>
      </c>
      <c r="BB17" s="107">
        <v>0.51</v>
      </c>
      <c r="BC17" s="107">
        <v>0.51</v>
      </c>
      <c r="BD17" s="107">
        <v>0.51</v>
      </c>
      <c r="BE17" s="107">
        <v>0.51</v>
      </c>
      <c r="BF17" s="107">
        <v>0.51</v>
      </c>
      <c r="BG17" s="107">
        <v>0.51</v>
      </c>
      <c r="BH17" s="107">
        <v>0.51</v>
      </c>
      <c r="BI17" s="107">
        <v>0.51</v>
      </c>
      <c r="BJ17" s="107">
        <v>0.51</v>
      </c>
      <c r="BK17" s="107">
        <v>0.51</v>
      </c>
      <c r="BL17" s="107">
        <v>0.51</v>
      </c>
      <c r="BM17" s="107">
        <v>0.51</v>
      </c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6"/>
      <c r="CL17" s="106"/>
      <c r="CM17" s="106"/>
      <c r="CN17" s="106"/>
    </row>
    <row r="18" spans="1:92" x14ac:dyDescent="0.2">
      <c r="A18" s="105" t="s">
        <v>394</v>
      </c>
      <c r="B18" s="105" t="s">
        <v>378</v>
      </c>
      <c r="C18" s="105">
        <v>36</v>
      </c>
      <c r="D18" s="105" t="s">
        <v>130</v>
      </c>
      <c r="E18" s="105" t="s">
        <v>99</v>
      </c>
      <c r="F18" s="105" t="s">
        <v>126</v>
      </c>
      <c r="G18" s="105"/>
      <c r="H18" s="105"/>
      <c r="I18" s="105"/>
      <c r="J18" s="107">
        <v>0.88200000000000001</v>
      </c>
      <c r="K18" s="107">
        <v>0.88200000000000001</v>
      </c>
      <c r="L18" s="107">
        <v>0.88200000000000001</v>
      </c>
      <c r="M18" s="107">
        <v>0.88200000000000001</v>
      </c>
      <c r="N18" s="107">
        <v>0.88200000000000001</v>
      </c>
      <c r="O18" s="107">
        <v>0.88200000000000001</v>
      </c>
      <c r="P18" s="107">
        <v>0.88200000000000001</v>
      </c>
      <c r="Q18" s="107">
        <v>0.88200000000000001</v>
      </c>
      <c r="R18" s="107">
        <v>0.88200000000000001</v>
      </c>
      <c r="S18" s="107">
        <v>0.88200000000000001</v>
      </c>
      <c r="T18" s="107">
        <v>0.88200000000000001</v>
      </c>
      <c r="U18" s="107">
        <v>0.88200000000000001</v>
      </c>
      <c r="V18" s="107">
        <v>0.88200000000000001</v>
      </c>
      <c r="W18" s="107">
        <v>0.88200000000000001</v>
      </c>
      <c r="X18" s="107">
        <v>0.88200000000000001</v>
      </c>
      <c r="Y18" s="107">
        <v>0.88200000000000001</v>
      </c>
      <c r="Z18" s="107">
        <v>0.88200000000000001</v>
      </c>
      <c r="AA18" s="107">
        <v>0.88200000000000001</v>
      </c>
      <c r="AB18" s="107">
        <v>0.88200000000000001</v>
      </c>
      <c r="AC18" s="107">
        <v>0.88200000000000001</v>
      </c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  <c r="CF18" s="106"/>
      <c r="CG18" s="106"/>
      <c r="CH18" s="106"/>
      <c r="CI18" s="106"/>
      <c r="CJ18" s="106"/>
      <c r="CK18" s="106"/>
      <c r="CL18" s="106"/>
      <c r="CM18" s="106"/>
      <c r="CN18" s="106"/>
    </row>
    <row r="19" spans="1:92" x14ac:dyDescent="0.2">
      <c r="A19" s="105" t="s">
        <v>395</v>
      </c>
      <c r="B19" s="105" t="s">
        <v>378</v>
      </c>
      <c r="C19" s="105">
        <v>37</v>
      </c>
      <c r="D19" s="105" t="s">
        <v>130</v>
      </c>
      <c r="E19" s="105" t="s">
        <v>101</v>
      </c>
      <c r="F19" s="105" t="s">
        <v>126</v>
      </c>
      <c r="G19" s="105"/>
      <c r="H19" s="105"/>
      <c r="I19" s="105"/>
      <c r="J19" s="107">
        <v>0.7</v>
      </c>
      <c r="K19" s="107">
        <v>0.7</v>
      </c>
      <c r="L19" s="107">
        <v>0.7</v>
      </c>
      <c r="M19" s="107">
        <v>0.7</v>
      </c>
      <c r="N19" s="107">
        <v>0.7</v>
      </c>
      <c r="O19" s="107">
        <v>0.7</v>
      </c>
      <c r="P19" s="107">
        <v>0.7</v>
      </c>
      <c r="Q19" s="107">
        <v>0.7</v>
      </c>
      <c r="R19" s="107">
        <v>0.7</v>
      </c>
      <c r="S19" s="107">
        <v>0.7</v>
      </c>
      <c r="T19" s="107">
        <v>0.7</v>
      </c>
      <c r="U19" s="107">
        <v>0.7</v>
      </c>
      <c r="V19" s="107">
        <v>0.7</v>
      </c>
      <c r="W19" s="107">
        <v>0.7</v>
      </c>
      <c r="X19" s="107">
        <v>0.7</v>
      </c>
      <c r="Y19" s="107">
        <v>0.7</v>
      </c>
      <c r="Z19" s="107">
        <v>0.7</v>
      </c>
      <c r="AA19" s="107">
        <v>0.7</v>
      </c>
      <c r="AB19" s="107">
        <v>0.7</v>
      </c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6"/>
      <c r="CL19" s="106"/>
      <c r="CM19" s="106"/>
      <c r="CN19" s="106"/>
    </row>
    <row r="20" spans="1:92" x14ac:dyDescent="0.2">
      <c r="A20" s="105" t="s">
        <v>396</v>
      </c>
      <c r="B20" s="105" t="s">
        <v>378</v>
      </c>
      <c r="C20" s="105">
        <v>38</v>
      </c>
      <c r="D20" s="105" t="s">
        <v>130</v>
      </c>
      <c r="E20" s="105" t="s">
        <v>132</v>
      </c>
      <c r="F20" s="105" t="s">
        <v>126</v>
      </c>
      <c r="G20" s="105"/>
      <c r="H20" s="105"/>
      <c r="I20" s="105"/>
      <c r="J20" s="107">
        <v>0.7</v>
      </c>
      <c r="K20" s="107">
        <v>0.7</v>
      </c>
      <c r="L20" s="107">
        <v>0.7</v>
      </c>
      <c r="M20" s="107">
        <v>0.7</v>
      </c>
      <c r="N20" s="107">
        <v>0.7</v>
      </c>
      <c r="O20" s="107">
        <v>0.7</v>
      </c>
      <c r="P20" s="107">
        <v>0.7</v>
      </c>
      <c r="Q20" s="107">
        <v>0.7</v>
      </c>
      <c r="R20" s="107">
        <v>0.7</v>
      </c>
      <c r="S20" s="107">
        <v>0.7</v>
      </c>
      <c r="T20" s="107">
        <v>0.7</v>
      </c>
      <c r="U20" s="107">
        <v>0.7</v>
      </c>
      <c r="V20" s="107">
        <v>0.7</v>
      </c>
      <c r="W20" s="107">
        <v>0.7</v>
      </c>
      <c r="X20" s="107">
        <v>0.7</v>
      </c>
      <c r="Y20" s="107">
        <v>0.7</v>
      </c>
      <c r="Z20" s="107">
        <v>0.7</v>
      </c>
      <c r="AA20" s="107">
        <v>0.7</v>
      </c>
      <c r="AB20" s="107">
        <v>0.7</v>
      </c>
      <c r="AC20" s="107">
        <v>0.7</v>
      </c>
      <c r="AD20" s="107">
        <v>0.7</v>
      </c>
      <c r="AE20" s="107">
        <v>0.7</v>
      </c>
      <c r="AF20" s="107">
        <v>0.7</v>
      </c>
      <c r="AG20" s="107">
        <v>0.7</v>
      </c>
      <c r="AH20" s="107">
        <v>0.7</v>
      </c>
      <c r="AI20" s="107">
        <v>0.7</v>
      </c>
      <c r="AJ20" s="107">
        <v>0.7</v>
      </c>
      <c r="AK20" s="107">
        <v>0.7</v>
      </c>
      <c r="AL20" s="107">
        <v>0.7</v>
      </c>
      <c r="AM20" s="107">
        <v>0.7</v>
      </c>
      <c r="AN20" s="107">
        <v>0.7</v>
      </c>
      <c r="AO20" s="107">
        <v>0.7</v>
      </c>
      <c r="AP20" s="107">
        <v>0.7</v>
      </c>
      <c r="AQ20" s="107">
        <v>0.7</v>
      </c>
      <c r="AR20" s="107">
        <v>0.7</v>
      </c>
      <c r="AS20" s="107">
        <v>0.7</v>
      </c>
      <c r="AT20" s="107">
        <v>0.7</v>
      </c>
      <c r="AU20" s="107">
        <v>0.7</v>
      </c>
      <c r="AV20" s="107">
        <v>0.7</v>
      </c>
      <c r="AW20" s="107">
        <v>0.7</v>
      </c>
      <c r="AX20" s="107">
        <v>0.7</v>
      </c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6"/>
      <c r="CJ20" s="106"/>
      <c r="CK20" s="106"/>
      <c r="CL20" s="106"/>
      <c r="CM20" s="106"/>
      <c r="CN20" s="106"/>
    </row>
    <row r="21" spans="1:92" x14ac:dyDescent="0.2">
      <c r="A21" s="105" t="s">
        <v>397</v>
      </c>
      <c r="B21" s="105" t="s">
        <v>378</v>
      </c>
      <c r="C21" s="105">
        <v>39</v>
      </c>
      <c r="D21" s="105" t="s">
        <v>130</v>
      </c>
      <c r="E21" s="105" t="s">
        <v>105</v>
      </c>
      <c r="F21" s="105" t="s">
        <v>126</v>
      </c>
      <c r="G21" s="105"/>
      <c r="H21" s="105"/>
      <c r="I21" s="105"/>
      <c r="J21" s="107">
        <v>1</v>
      </c>
      <c r="K21" s="107">
        <v>1</v>
      </c>
      <c r="L21" s="107">
        <v>1</v>
      </c>
      <c r="M21" s="107">
        <v>1</v>
      </c>
      <c r="N21" s="107">
        <v>1</v>
      </c>
      <c r="O21" s="107">
        <v>1</v>
      </c>
      <c r="P21" s="107">
        <v>1</v>
      </c>
      <c r="Q21" s="107">
        <v>1</v>
      </c>
      <c r="R21" s="107">
        <v>1</v>
      </c>
      <c r="S21" s="107">
        <v>1</v>
      </c>
      <c r="T21" s="107">
        <v>1</v>
      </c>
      <c r="U21" s="107">
        <v>1</v>
      </c>
      <c r="V21" s="107">
        <v>1</v>
      </c>
      <c r="W21" s="107">
        <v>1</v>
      </c>
      <c r="X21" s="107">
        <v>1</v>
      </c>
      <c r="Y21" s="107">
        <v>1</v>
      </c>
      <c r="Z21" s="107">
        <v>1</v>
      </c>
      <c r="AA21" s="107">
        <v>1</v>
      </c>
      <c r="AB21" s="107">
        <v>1</v>
      </c>
      <c r="AC21" s="107">
        <v>1</v>
      </c>
      <c r="AD21" s="107">
        <v>1</v>
      </c>
      <c r="AE21" s="107">
        <v>1</v>
      </c>
      <c r="AF21" s="107">
        <v>1</v>
      </c>
      <c r="AG21" s="107">
        <v>1</v>
      </c>
      <c r="AH21" s="107">
        <v>1</v>
      </c>
      <c r="AI21" s="107">
        <v>1</v>
      </c>
      <c r="AJ21" s="107">
        <v>1</v>
      </c>
      <c r="AK21" s="107">
        <v>1</v>
      </c>
      <c r="AL21" s="107">
        <v>1</v>
      </c>
      <c r="AM21" s="107">
        <v>1</v>
      </c>
      <c r="AN21" s="107">
        <v>1</v>
      </c>
      <c r="AO21" s="107">
        <v>1</v>
      </c>
      <c r="AP21" s="107">
        <v>1</v>
      </c>
      <c r="AQ21" s="107">
        <v>1</v>
      </c>
      <c r="AR21" s="107">
        <v>1</v>
      </c>
      <c r="AS21" s="107">
        <v>0.88</v>
      </c>
      <c r="AT21" s="107">
        <v>0.88</v>
      </c>
      <c r="AU21" s="107">
        <v>0.88</v>
      </c>
      <c r="AV21" s="107">
        <v>0.88</v>
      </c>
      <c r="AW21" s="107">
        <v>0.88</v>
      </c>
      <c r="AX21" s="107">
        <v>0.88</v>
      </c>
      <c r="AY21" s="107">
        <v>0.88</v>
      </c>
      <c r="AZ21" s="107">
        <v>0.88</v>
      </c>
      <c r="BA21" s="107">
        <v>0.88</v>
      </c>
      <c r="BB21" s="107">
        <v>0.88</v>
      </c>
      <c r="BC21" s="107">
        <v>0.88</v>
      </c>
      <c r="BD21" s="107">
        <v>0.88</v>
      </c>
      <c r="BE21" s="107">
        <v>0.88</v>
      </c>
      <c r="BF21" s="107">
        <v>0.88</v>
      </c>
      <c r="BG21" s="107">
        <v>0.88</v>
      </c>
      <c r="BH21" s="107">
        <v>0.88</v>
      </c>
      <c r="BI21" s="107">
        <v>0.88</v>
      </c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6"/>
      <c r="CL21" s="106"/>
      <c r="CM21" s="106"/>
      <c r="CN21" s="106"/>
    </row>
    <row r="22" spans="1:92" x14ac:dyDescent="0.2">
      <c r="A22" s="105" t="s">
        <v>398</v>
      </c>
      <c r="B22" s="105" t="s">
        <v>378</v>
      </c>
      <c r="C22" s="105">
        <v>40</v>
      </c>
      <c r="D22" s="105" t="s">
        <v>130</v>
      </c>
      <c r="E22" s="105" t="s">
        <v>128</v>
      </c>
      <c r="F22" s="105" t="s">
        <v>126</v>
      </c>
      <c r="G22" s="105"/>
      <c r="H22" s="105"/>
      <c r="I22" s="105"/>
      <c r="J22" s="107">
        <v>0.23300000000000001</v>
      </c>
      <c r="K22" s="107">
        <v>0.23300000000000001</v>
      </c>
      <c r="L22" s="107">
        <v>0.23300000000000001</v>
      </c>
      <c r="M22" s="107">
        <v>0.23300000000000001</v>
      </c>
      <c r="N22" s="107">
        <v>0.23300000000000001</v>
      </c>
      <c r="O22" s="107">
        <v>0.23300000000000001</v>
      </c>
      <c r="P22" s="107">
        <v>0.23300000000000001</v>
      </c>
      <c r="Q22" s="107">
        <v>0.23300000000000001</v>
      </c>
      <c r="R22" s="107">
        <v>0.23300000000000001</v>
      </c>
      <c r="S22" s="107">
        <v>0.23300000000000001</v>
      </c>
      <c r="T22" s="107">
        <v>0.23300000000000001</v>
      </c>
      <c r="U22" s="107">
        <v>0.23300000000000001</v>
      </c>
      <c r="V22" s="107">
        <v>0.23300000000000001</v>
      </c>
      <c r="W22" s="107">
        <v>0.23300000000000001</v>
      </c>
      <c r="X22" s="107">
        <v>0.23300000000000001</v>
      </c>
      <c r="Y22" s="107">
        <v>0.23300000000000001</v>
      </c>
      <c r="Z22" s="107">
        <v>0.23300000000000001</v>
      </c>
      <c r="AA22" s="107">
        <v>0.23300000000000001</v>
      </c>
      <c r="AB22" s="107">
        <v>0.23300000000000001</v>
      </c>
      <c r="AC22" s="107">
        <v>0.23300000000000001</v>
      </c>
      <c r="AD22" s="107">
        <v>0.23300000000000001</v>
      </c>
      <c r="AE22" s="107">
        <v>0.23300000000000001</v>
      </c>
      <c r="AF22" s="107">
        <v>0.23300000000000001</v>
      </c>
      <c r="AG22" s="107">
        <v>0.23300000000000001</v>
      </c>
      <c r="AH22" s="107">
        <v>0.23300000000000001</v>
      </c>
      <c r="AI22" s="107">
        <v>0.23300000000000001</v>
      </c>
      <c r="AJ22" s="107">
        <v>0.23300000000000001</v>
      </c>
      <c r="AK22" s="107">
        <v>0.23300000000000001</v>
      </c>
      <c r="AL22" s="107">
        <v>0.23300000000000001</v>
      </c>
      <c r="AM22" s="107">
        <v>0.23300000000000001</v>
      </c>
      <c r="AN22" s="107">
        <v>0.23300000000000001</v>
      </c>
      <c r="AO22" s="107">
        <v>0.23300000000000001</v>
      </c>
      <c r="AP22" s="107">
        <v>0.23300000000000001</v>
      </c>
      <c r="AQ22" s="107">
        <v>0.23300000000000001</v>
      </c>
      <c r="AR22" s="107">
        <v>0.23300000000000001</v>
      </c>
      <c r="AS22" s="107">
        <v>0.23300000000000001</v>
      </c>
      <c r="AT22" s="107">
        <v>0.23300000000000001</v>
      </c>
      <c r="AU22" s="107">
        <v>0.23300000000000001</v>
      </c>
      <c r="AV22" s="107">
        <v>0.23300000000000001</v>
      </c>
      <c r="AW22" s="107">
        <v>0.23300000000000001</v>
      </c>
      <c r="AX22" s="107">
        <v>0.23300000000000001</v>
      </c>
      <c r="AY22" s="107">
        <v>0.23300000000000001</v>
      </c>
      <c r="AZ22" s="107">
        <v>0.23300000000000001</v>
      </c>
      <c r="BA22" s="107">
        <v>0.23300000000000001</v>
      </c>
      <c r="BB22" s="107">
        <v>0.23300000000000001</v>
      </c>
      <c r="BC22" s="107">
        <v>0.23300000000000001</v>
      </c>
      <c r="BD22" s="107">
        <v>0.23300000000000001</v>
      </c>
      <c r="BE22" s="107">
        <v>0.23300000000000001</v>
      </c>
      <c r="BF22" s="107">
        <v>0.23300000000000001</v>
      </c>
      <c r="BG22" s="107">
        <v>0.23300000000000001</v>
      </c>
      <c r="BH22" s="107">
        <v>0.23300000000000001</v>
      </c>
      <c r="BI22" s="107">
        <v>0.23300000000000001</v>
      </c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</row>
    <row r="23" spans="1:92" x14ac:dyDescent="0.2">
      <c r="A23" s="105" t="s">
        <v>399</v>
      </c>
      <c r="B23" s="105" t="s">
        <v>378</v>
      </c>
      <c r="C23" s="105">
        <v>41</v>
      </c>
      <c r="D23" s="105" t="s">
        <v>130</v>
      </c>
      <c r="E23" s="105" t="s">
        <v>133</v>
      </c>
      <c r="F23" s="105" t="s">
        <v>126</v>
      </c>
      <c r="G23" s="105"/>
      <c r="H23" s="105"/>
      <c r="I23" s="105"/>
      <c r="J23" s="107">
        <v>0.76800000000000002</v>
      </c>
      <c r="K23" s="107">
        <v>0.76800000000000002</v>
      </c>
      <c r="L23" s="107">
        <v>0.76800000000000002</v>
      </c>
      <c r="M23" s="107">
        <v>0.76800000000000002</v>
      </c>
      <c r="N23" s="107">
        <v>0.77500000000000002</v>
      </c>
      <c r="O23" s="107">
        <v>0.77500000000000002</v>
      </c>
      <c r="P23" s="107">
        <v>0.77500000000000002</v>
      </c>
      <c r="Q23" s="107">
        <v>0.77500000000000002</v>
      </c>
      <c r="R23" s="107">
        <v>0.77500000000000002</v>
      </c>
      <c r="S23" s="107">
        <v>0.77500000000000002</v>
      </c>
      <c r="T23" s="107">
        <v>0.77500000000000002</v>
      </c>
      <c r="U23" s="107">
        <v>0.77500000000000002</v>
      </c>
      <c r="V23" s="107">
        <v>0.77600000000000002</v>
      </c>
      <c r="W23" s="107">
        <v>0.77600000000000002</v>
      </c>
      <c r="X23" s="107">
        <v>0.77600000000000002</v>
      </c>
      <c r="Y23" s="107">
        <v>0.77600000000000002</v>
      </c>
      <c r="Z23" s="107">
        <v>0.78300000000000003</v>
      </c>
      <c r="AA23" s="107">
        <v>0.78300000000000003</v>
      </c>
      <c r="AB23" s="107">
        <v>0.78300000000000003</v>
      </c>
      <c r="AC23" s="107">
        <v>0.78300000000000003</v>
      </c>
      <c r="AD23" s="107">
        <v>0.78600000000000003</v>
      </c>
      <c r="AE23" s="107">
        <v>0.78600000000000003</v>
      </c>
      <c r="AF23" s="107">
        <v>0.78600000000000003</v>
      </c>
      <c r="AG23" s="107">
        <v>0.78600000000000003</v>
      </c>
      <c r="AH23" s="107">
        <v>0.77900000000000003</v>
      </c>
      <c r="AI23" s="107">
        <v>0.77900000000000003</v>
      </c>
      <c r="AJ23" s="107">
        <v>0.77900000000000003</v>
      </c>
      <c r="AK23" s="107">
        <v>0.77900000000000003</v>
      </c>
      <c r="AL23" s="107">
        <v>0.78200000000000003</v>
      </c>
      <c r="AM23" s="107">
        <v>0.78200000000000003</v>
      </c>
      <c r="AN23" s="107">
        <v>0.78200000000000003</v>
      </c>
      <c r="AO23" s="107">
        <v>0.78200000000000003</v>
      </c>
      <c r="AP23" s="107">
        <v>0.78600000000000003</v>
      </c>
      <c r="AQ23" s="107">
        <v>0.78600000000000003</v>
      </c>
      <c r="AR23" s="107">
        <v>0.78600000000000003</v>
      </c>
      <c r="AS23" s="107">
        <v>0.78600000000000003</v>
      </c>
      <c r="AT23" s="107">
        <v>0.79200000000000004</v>
      </c>
      <c r="AU23" s="107">
        <v>0.79200000000000004</v>
      </c>
      <c r="AV23" s="107">
        <v>0.79200000000000004</v>
      </c>
      <c r="AW23" s="107">
        <v>0.79200000000000004</v>
      </c>
      <c r="AX23" s="107">
        <v>0.79200000000000004</v>
      </c>
      <c r="AY23" s="107">
        <v>0.79200000000000004</v>
      </c>
      <c r="AZ23" s="107">
        <v>0.79200000000000004</v>
      </c>
      <c r="BA23" s="107">
        <v>0.79200000000000004</v>
      </c>
      <c r="BB23" s="107">
        <v>0.79200000000000004</v>
      </c>
      <c r="BC23" s="107">
        <v>0.79200000000000004</v>
      </c>
      <c r="BD23" s="107">
        <v>0.79200000000000004</v>
      </c>
      <c r="BE23" s="107">
        <v>0.79200000000000004</v>
      </c>
      <c r="BF23" s="107">
        <v>0.79200000000000004</v>
      </c>
      <c r="BG23" s="107">
        <v>0.79200000000000004</v>
      </c>
      <c r="BH23" s="107">
        <v>0.79200000000000004</v>
      </c>
      <c r="BI23" s="107">
        <v>0.79200000000000004</v>
      </c>
      <c r="BJ23" s="107">
        <v>0.79200000000000004</v>
      </c>
      <c r="BK23" s="107">
        <v>0.79200000000000004</v>
      </c>
      <c r="BL23" s="107">
        <v>0.79200000000000004</v>
      </c>
      <c r="BM23" s="107">
        <v>0.79200000000000004</v>
      </c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6"/>
      <c r="CL23" s="106"/>
      <c r="CM23" s="106"/>
      <c r="CN23" s="106"/>
    </row>
    <row r="24" spans="1:92" x14ac:dyDescent="0.2">
      <c r="A24" s="105" t="s">
        <v>400</v>
      </c>
      <c r="B24" s="105" t="s">
        <v>378</v>
      </c>
      <c r="C24" s="105">
        <v>42</v>
      </c>
      <c r="D24" s="105" t="s">
        <v>130</v>
      </c>
      <c r="E24" s="105" t="s">
        <v>122</v>
      </c>
      <c r="F24" s="105" t="s">
        <v>126</v>
      </c>
      <c r="G24" s="105"/>
      <c r="H24" s="105"/>
      <c r="I24" s="105"/>
      <c r="J24" s="107">
        <v>0.23300000000000001</v>
      </c>
      <c r="K24" s="107">
        <v>0.23300000000000001</v>
      </c>
      <c r="L24" s="107">
        <v>0.23300000000000001</v>
      </c>
      <c r="M24" s="107">
        <v>0.23300000000000001</v>
      </c>
      <c r="N24" s="107">
        <v>0.23300000000000001</v>
      </c>
      <c r="O24" s="107">
        <v>0.23300000000000001</v>
      </c>
      <c r="P24" s="107">
        <v>0.23300000000000001</v>
      </c>
      <c r="Q24" s="107">
        <v>0.23300000000000001</v>
      </c>
      <c r="R24" s="107">
        <v>0.23300000000000001</v>
      </c>
      <c r="S24" s="107">
        <v>0.23300000000000001</v>
      </c>
      <c r="T24" s="107">
        <v>0.23300000000000001</v>
      </c>
      <c r="U24" s="107">
        <v>0.23300000000000001</v>
      </c>
      <c r="V24" s="107">
        <v>0.23300000000000001</v>
      </c>
      <c r="W24" s="107">
        <v>0.23300000000000001</v>
      </c>
      <c r="X24" s="107">
        <v>0.23300000000000001</v>
      </c>
      <c r="Y24" s="107">
        <v>0.23300000000000001</v>
      </c>
      <c r="Z24" s="107">
        <v>0.23300000000000001</v>
      </c>
      <c r="AA24" s="107">
        <v>0.23300000000000001</v>
      </c>
      <c r="AB24" s="107">
        <v>0.23300000000000001</v>
      </c>
      <c r="AC24" s="107">
        <v>0.23300000000000001</v>
      </c>
      <c r="AD24" s="107">
        <v>0.23300000000000001</v>
      </c>
      <c r="AE24" s="107">
        <v>0.23300000000000001</v>
      </c>
      <c r="AF24" s="107">
        <v>0.23300000000000001</v>
      </c>
      <c r="AG24" s="107">
        <v>0.23300000000000001</v>
      </c>
      <c r="AH24" s="107">
        <v>0.23300000000000001</v>
      </c>
      <c r="AI24" s="107">
        <v>0.23300000000000001</v>
      </c>
      <c r="AJ24" s="107">
        <v>0.23300000000000001</v>
      </c>
      <c r="AK24" s="107">
        <v>0.23300000000000001</v>
      </c>
      <c r="AL24" s="107">
        <v>0.23300000000000001</v>
      </c>
      <c r="AM24" s="107">
        <v>0.23300000000000001</v>
      </c>
      <c r="AN24" s="107">
        <v>0.23300000000000001</v>
      </c>
      <c r="AO24" s="107">
        <v>0.23300000000000001</v>
      </c>
      <c r="AP24" s="107">
        <v>0.23300000000000001</v>
      </c>
      <c r="AQ24" s="107">
        <v>0.23300000000000001</v>
      </c>
      <c r="AR24" s="107">
        <v>0.23300000000000001</v>
      </c>
      <c r="AS24" s="107">
        <v>0.23300000000000001</v>
      </c>
      <c r="AT24" s="107">
        <v>0.23300000000000001</v>
      </c>
      <c r="AU24" s="107">
        <v>0.23300000000000001</v>
      </c>
      <c r="AV24" s="107">
        <v>0.23300000000000001</v>
      </c>
      <c r="AW24" s="107">
        <v>0.23300000000000001</v>
      </c>
      <c r="AX24" s="107">
        <v>0.23300000000000001</v>
      </c>
      <c r="AY24" s="107">
        <v>0.23300000000000001</v>
      </c>
      <c r="AZ24" s="107">
        <v>0.23300000000000001</v>
      </c>
      <c r="BA24" s="107">
        <v>0.23300000000000001</v>
      </c>
      <c r="BB24" s="107">
        <v>0.23300000000000001</v>
      </c>
      <c r="BC24" s="107">
        <v>0.23300000000000001</v>
      </c>
      <c r="BD24" s="107">
        <v>0.23300000000000001</v>
      </c>
      <c r="BE24" s="107">
        <v>0.23300000000000001</v>
      </c>
      <c r="BF24" s="107">
        <v>0.23300000000000001</v>
      </c>
      <c r="BG24" s="107">
        <v>0.23300000000000001</v>
      </c>
      <c r="BH24" s="107">
        <v>0.23300000000000001</v>
      </c>
      <c r="BI24" s="107">
        <v>0.23300000000000001</v>
      </c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6"/>
      <c r="CL24" s="106"/>
      <c r="CM24" s="106"/>
      <c r="CN24" s="106"/>
    </row>
    <row r="25" spans="1:92" x14ac:dyDescent="0.2">
      <c r="A25" s="105" t="s">
        <v>401</v>
      </c>
      <c r="B25" s="105" t="s">
        <v>378</v>
      </c>
      <c r="C25" s="105">
        <v>43</v>
      </c>
      <c r="D25" s="105" t="s">
        <v>130</v>
      </c>
      <c r="E25" s="105" t="s">
        <v>104</v>
      </c>
      <c r="F25" s="105" t="s">
        <v>126</v>
      </c>
      <c r="G25" s="105"/>
      <c r="H25" s="105"/>
      <c r="I25" s="105"/>
      <c r="J25" s="107">
        <v>0.88</v>
      </c>
      <c r="K25" s="107">
        <v>0.88</v>
      </c>
      <c r="L25" s="107">
        <v>0.88</v>
      </c>
      <c r="M25" s="107">
        <v>0.88</v>
      </c>
      <c r="N25" s="107">
        <v>0.88</v>
      </c>
      <c r="O25" s="107">
        <v>0.88</v>
      </c>
      <c r="P25" s="107">
        <v>0.88</v>
      </c>
      <c r="Q25" s="107">
        <v>0.88</v>
      </c>
      <c r="R25" s="107">
        <v>0.88</v>
      </c>
      <c r="S25" s="107">
        <v>0.88</v>
      </c>
      <c r="T25" s="107">
        <v>0.88</v>
      </c>
      <c r="U25" s="107">
        <v>0.88</v>
      </c>
      <c r="V25" s="107">
        <v>0.88</v>
      </c>
      <c r="W25" s="107">
        <v>0.88</v>
      </c>
      <c r="X25" s="107">
        <v>0.88</v>
      </c>
      <c r="Y25" s="107">
        <v>0.88</v>
      </c>
      <c r="Z25" s="107">
        <v>0.88</v>
      </c>
      <c r="AA25" s="107">
        <v>0.88</v>
      </c>
      <c r="AB25" s="107">
        <v>0.88</v>
      </c>
      <c r="AC25" s="107">
        <v>0.88</v>
      </c>
      <c r="AD25" s="107">
        <v>0.88</v>
      </c>
      <c r="AE25" s="107">
        <v>0.88</v>
      </c>
      <c r="AF25" s="107">
        <v>0.88</v>
      </c>
      <c r="AG25" s="107">
        <v>0.88</v>
      </c>
      <c r="AH25" s="107">
        <v>0.88</v>
      </c>
      <c r="AI25" s="107">
        <v>0.88</v>
      </c>
      <c r="AJ25" s="107">
        <v>0.88</v>
      </c>
      <c r="AK25" s="107">
        <v>0.88</v>
      </c>
      <c r="AL25" s="107">
        <v>0.88</v>
      </c>
      <c r="AM25" s="107">
        <v>0.88</v>
      </c>
      <c r="AN25" s="107">
        <v>0.88</v>
      </c>
      <c r="AO25" s="107">
        <v>0.88</v>
      </c>
      <c r="AP25" s="107">
        <v>0.88</v>
      </c>
      <c r="AQ25" s="107">
        <v>0.88</v>
      </c>
      <c r="AR25" s="107">
        <v>0.88</v>
      </c>
      <c r="AS25" s="107">
        <v>0.88</v>
      </c>
      <c r="AT25" s="107">
        <v>0.88</v>
      </c>
      <c r="AU25" s="107">
        <v>0.88</v>
      </c>
      <c r="AV25" s="107">
        <v>0.88</v>
      </c>
      <c r="AW25" s="107">
        <v>0.88</v>
      </c>
      <c r="AX25" s="107">
        <v>0.88</v>
      </c>
      <c r="AY25" s="107">
        <v>0.88</v>
      </c>
      <c r="AZ25" s="107">
        <v>0.88</v>
      </c>
      <c r="BA25" s="107">
        <v>0.88</v>
      </c>
      <c r="BB25" s="107">
        <v>0.88</v>
      </c>
      <c r="BC25" s="107">
        <v>0.88</v>
      </c>
      <c r="BD25" s="107">
        <v>0.88</v>
      </c>
      <c r="BE25" s="107">
        <v>0.88</v>
      </c>
      <c r="BF25" s="107">
        <v>0.88</v>
      </c>
      <c r="BG25" s="107">
        <v>0.88</v>
      </c>
      <c r="BH25" s="107">
        <v>0.88</v>
      </c>
      <c r="BI25" s="107">
        <v>0.88</v>
      </c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</row>
    <row r="26" spans="1:92" x14ac:dyDescent="0.2">
      <c r="A26" s="105" t="s">
        <v>402</v>
      </c>
      <c r="B26" s="105" t="s">
        <v>378</v>
      </c>
      <c r="C26" s="105">
        <v>47</v>
      </c>
      <c r="D26" s="105" t="s">
        <v>135</v>
      </c>
      <c r="E26" s="105" t="s">
        <v>98</v>
      </c>
      <c r="F26" s="105" t="s">
        <v>85</v>
      </c>
      <c r="G26" s="105"/>
      <c r="H26" s="105" t="s">
        <v>403</v>
      </c>
      <c r="I26" s="105" t="s">
        <v>136</v>
      </c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7">
        <v>10.937099</v>
      </c>
      <c r="BP26" s="107">
        <v>11.604663</v>
      </c>
      <c r="BQ26" s="106"/>
      <c r="BR26" s="107">
        <v>11.637862</v>
      </c>
      <c r="BS26" s="107">
        <v>12.075884</v>
      </c>
      <c r="BT26" s="107">
        <v>8.4352280000000004</v>
      </c>
      <c r="BU26" s="107">
        <v>9.5306320000000007</v>
      </c>
      <c r="BV26" s="107">
        <v>10.394705999999999</v>
      </c>
      <c r="BW26" s="107">
        <v>9.1683900000000005</v>
      </c>
      <c r="BX26" s="107">
        <v>6.1009979999999997</v>
      </c>
      <c r="BY26" s="107">
        <v>9.1468310000000006</v>
      </c>
      <c r="BZ26" s="107">
        <v>8.7652009999999994</v>
      </c>
      <c r="CA26" s="107">
        <v>9.1821719999999996</v>
      </c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</row>
    <row r="27" spans="1:92" x14ac:dyDescent="0.2">
      <c r="A27" s="105" t="s">
        <v>404</v>
      </c>
      <c r="B27" s="105" t="s">
        <v>378</v>
      </c>
      <c r="C27" s="105">
        <v>48</v>
      </c>
      <c r="D27" s="105" t="s">
        <v>135</v>
      </c>
      <c r="E27" s="105" t="s">
        <v>104</v>
      </c>
      <c r="F27" s="105" t="s">
        <v>85</v>
      </c>
      <c r="G27" s="105"/>
      <c r="H27" s="105" t="s">
        <v>403</v>
      </c>
      <c r="I27" s="105" t="s">
        <v>136</v>
      </c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7">
        <v>6.1704809999999997</v>
      </c>
      <c r="BP27" s="107">
        <v>6.4618120000000001</v>
      </c>
      <c r="BQ27" s="106"/>
      <c r="BR27" s="107">
        <v>5.9788100000000002</v>
      </c>
      <c r="BS27" s="107">
        <v>7.7338149999999999</v>
      </c>
      <c r="BT27" s="107">
        <v>9.3705189999999998</v>
      </c>
      <c r="BU27" s="107">
        <v>7.4761150000000001</v>
      </c>
      <c r="BV27" s="107">
        <v>7.607259</v>
      </c>
      <c r="BW27" s="107">
        <v>5.7687710000000001</v>
      </c>
      <c r="BX27" s="107">
        <v>3.6434250000000001</v>
      </c>
      <c r="BY27" s="107">
        <v>6.1965560000000002</v>
      </c>
      <c r="BZ27" s="107">
        <v>4.8098049999999999</v>
      </c>
      <c r="CA27" s="107">
        <v>3.3150010000000001</v>
      </c>
      <c r="CB27" s="106"/>
      <c r="CC27" s="106"/>
      <c r="CD27" s="106"/>
      <c r="CE27" s="106"/>
      <c r="CF27" s="106"/>
      <c r="CG27" s="106"/>
      <c r="CH27" s="106"/>
      <c r="CI27" s="106"/>
      <c r="CJ27" s="106"/>
      <c r="CK27" s="106"/>
      <c r="CL27" s="106"/>
      <c r="CM27" s="106"/>
      <c r="CN27" s="106"/>
    </row>
    <row r="28" spans="1:92" x14ac:dyDescent="0.2">
      <c r="A28" s="105" t="s">
        <v>405</v>
      </c>
      <c r="B28" s="105" t="s">
        <v>378</v>
      </c>
      <c r="C28" s="105">
        <v>49</v>
      </c>
      <c r="D28" s="105" t="s">
        <v>135</v>
      </c>
      <c r="E28" s="105" t="s">
        <v>101</v>
      </c>
      <c r="F28" s="105" t="s">
        <v>85</v>
      </c>
      <c r="G28" s="105"/>
      <c r="H28" s="105" t="s">
        <v>406</v>
      </c>
      <c r="I28" s="105" t="s">
        <v>136</v>
      </c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7">
        <v>3.603434</v>
      </c>
      <c r="BP28" s="107">
        <v>1.8540719999999999</v>
      </c>
      <c r="BQ28" s="106"/>
      <c r="BR28" s="107">
        <v>6.5612149999999998</v>
      </c>
      <c r="BS28" s="107">
        <v>4.8914390000000001</v>
      </c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6"/>
      <c r="CN28" s="106"/>
    </row>
    <row r="29" spans="1:92" x14ac:dyDescent="0.2">
      <c r="A29" s="105" t="s">
        <v>407</v>
      </c>
      <c r="B29" s="105" t="s">
        <v>378</v>
      </c>
      <c r="C29" s="105">
        <v>50</v>
      </c>
      <c r="D29" s="105" t="s">
        <v>135</v>
      </c>
      <c r="E29" s="105" t="s">
        <v>144</v>
      </c>
      <c r="F29" s="105" t="s">
        <v>85</v>
      </c>
      <c r="G29" s="105"/>
      <c r="H29" s="105" t="s">
        <v>406</v>
      </c>
      <c r="I29" s="105" t="s">
        <v>136</v>
      </c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7">
        <v>6.8421580000000004</v>
      </c>
      <c r="BP29" s="107">
        <v>5.8767180000000003</v>
      </c>
      <c r="BQ29" s="106"/>
      <c r="BR29" s="107">
        <v>7.8387640000000003</v>
      </c>
      <c r="BS29" s="107">
        <v>8.3942990000000002</v>
      </c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6"/>
      <c r="CN29" s="106"/>
    </row>
    <row r="30" spans="1:92" x14ac:dyDescent="0.2">
      <c r="A30" s="105" t="s">
        <v>408</v>
      </c>
      <c r="B30" s="105" t="s">
        <v>378</v>
      </c>
      <c r="C30" s="105">
        <v>51</v>
      </c>
      <c r="D30" s="105" t="s">
        <v>135</v>
      </c>
      <c r="E30" s="105" t="s">
        <v>409</v>
      </c>
      <c r="F30" s="105" t="s">
        <v>85</v>
      </c>
      <c r="G30" s="105"/>
      <c r="H30" s="105" t="s">
        <v>137</v>
      </c>
      <c r="I30" s="105" t="s">
        <v>136</v>
      </c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7">
        <v>1.9181710000000001</v>
      </c>
      <c r="BP30" s="107">
        <v>1.1141080000000001</v>
      </c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6"/>
      <c r="CL30" s="106"/>
      <c r="CM30" s="106"/>
      <c r="CN30" s="106"/>
    </row>
    <row r="31" spans="1:92" x14ac:dyDescent="0.2">
      <c r="A31" s="105" t="s">
        <v>410</v>
      </c>
      <c r="B31" s="105" t="s">
        <v>378</v>
      </c>
      <c r="C31" s="105">
        <v>52</v>
      </c>
      <c r="D31" s="105" t="s">
        <v>135</v>
      </c>
      <c r="E31" s="105" t="s">
        <v>146</v>
      </c>
      <c r="F31" s="105" t="s">
        <v>85</v>
      </c>
      <c r="G31" s="105"/>
      <c r="H31" s="105" t="s">
        <v>403</v>
      </c>
      <c r="I31" s="105" t="s">
        <v>136</v>
      </c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7">
        <v>5.303941</v>
      </c>
      <c r="BP31" s="107">
        <v>5.7875160000000001</v>
      </c>
      <c r="BQ31" s="106"/>
      <c r="BR31" s="107">
        <v>5.6733929999999999</v>
      </c>
      <c r="BS31" s="107">
        <v>4.0973629999999996</v>
      </c>
      <c r="BT31" s="107">
        <v>3.8861080000000001</v>
      </c>
      <c r="BU31" s="107">
        <v>4.5610480000000004</v>
      </c>
      <c r="BV31" s="107">
        <v>5.3850379999999998</v>
      </c>
      <c r="BW31" s="107">
        <v>3.6353460000000002</v>
      </c>
      <c r="BX31" s="107">
        <v>3.4568439999999998</v>
      </c>
      <c r="BY31" s="107">
        <v>4127437</v>
      </c>
      <c r="BZ31" s="107">
        <v>3.8531840000000002</v>
      </c>
      <c r="CA31" s="107">
        <v>4.8759680000000003</v>
      </c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</row>
    <row r="32" spans="1:92" x14ac:dyDescent="0.2">
      <c r="A32" s="105" t="s">
        <v>411</v>
      </c>
      <c r="B32" s="105" t="s">
        <v>378</v>
      </c>
      <c r="C32" s="105">
        <v>53</v>
      </c>
      <c r="D32" s="105" t="s">
        <v>135</v>
      </c>
      <c r="E32" s="105" t="s">
        <v>147</v>
      </c>
      <c r="F32" s="105" t="s">
        <v>85</v>
      </c>
      <c r="G32" s="105"/>
      <c r="H32" s="105" t="s">
        <v>137</v>
      </c>
      <c r="I32" s="105" t="s">
        <v>136</v>
      </c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7">
        <v>0.408779</v>
      </c>
      <c r="BP32" s="107">
        <v>0.24801100000000001</v>
      </c>
      <c r="BQ32" s="106"/>
      <c r="BR32" s="106"/>
      <c r="BS32" s="106"/>
      <c r="BT32" s="106"/>
      <c r="BU32" s="106"/>
      <c r="BV32" s="106"/>
      <c r="BW32" s="106"/>
      <c r="BX32" s="106"/>
      <c r="BY32" s="106"/>
      <c r="BZ32" s="107">
        <v>5.4338949999999997</v>
      </c>
      <c r="CA32" s="107">
        <v>5.2646189999999997</v>
      </c>
      <c r="CB32" s="106"/>
      <c r="CC32" s="106"/>
      <c r="CD32" s="106"/>
      <c r="CE32" s="106"/>
      <c r="CF32" s="106"/>
      <c r="CG32" s="106"/>
      <c r="CH32" s="106"/>
      <c r="CI32" s="106"/>
      <c r="CJ32" s="106"/>
      <c r="CK32" s="106"/>
      <c r="CL32" s="106"/>
      <c r="CM32" s="106"/>
      <c r="CN32" s="106"/>
    </row>
    <row r="33" spans="1:92" x14ac:dyDescent="0.2">
      <c r="A33" s="105" t="s">
        <v>412</v>
      </c>
      <c r="B33" s="105" t="s">
        <v>378</v>
      </c>
      <c r="C33" s="105">
        <v>54</v>
      </c>
      <c r="D33" s="105" t="s">
        <v>135</v>
      </c>
      <c r="E33" s="105" t="s">
        <v>148</v>
      </c>
      <c r="F33" s="105" t="s">
        <v>85</v>
      </c>
      <c r="G33" s="105"/>
      <c r="H33" s="105" t="s">
        <v>413</v>
      </c>
      <c r="I33" s="105" t="s">
        <v>136</v>
      </c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7">
        <v>4.0508850000000001</v>
      </c>
      <c r="BP33" s="107">
        <v>6.1264710000000004</v>
      </c>
      <c r="BQ33" s="106"/>
      <c r="BR33" s="107">
        <v>9.8100939999999994</v>
      </c>
      <c r="BS33" s="107">
        <v>7.2760020000000001</v>
      </c>
      <c r="BT33" s="107">
        <v>7.7329540000000003</v>
      </c>
      <c r="BU33" s="107">
        <v>6.930631</v>
      </c>
      <c r="BV33" s="107">
        <v>5.7449339999999998</v>
      </c>
      <c r="BW33" s="107">
        <v>6.9115690000000001</v>
      </c>
      <c r="BX33" s="107">
        <v>5.9479839999999999</v>
      </c>
      <c r="BY33" s="106"/>
      <c r="BZ33" s="106"/>
      <c r="CA33" s="106"/>
      <c r="CB33" s="106"/>
      <c r="CC33" s="106"/>
      <c r="CD33" s="106"/>
      <c r="CE33" s="106"/>
      <c r="CF33" s="106"/>
      <c r="CG33" s="106"/>
      <c r="CH33" s="106"/>
      <c r="CI33" s="106"/>
      <c r="CJ33" s="106"/>
      <c r="CK33" s="106"/>
      <c r="CL33" s="106"/>
      <c r="CM33" s="106"/>
      <c r="CN33" s="106"/>
    </row>
    <row r="34" spans="1:92" x14ac:dyDescent="0.2">
      <c r="A34" s="105" t="s">
        <v>414</v>
      </c>
      <c r="B34" s="105" t="s">
        <v>378</v>
      </c>
      <c r="C34" s="105">
        <v>55</v>
      </c>
      <c r="D34" s="105" t="s">
        <v>135</v>
      </c>
      <c r="E34" s="105" t="s">
        <v>128</v>
      </c>
      <c r="F34" s="105" t="s">
        <v>85</v>
      </c>
      <c r="G34" s="105"/>
      <c r="H34" s="105" t="s">
        <v>403</v>
      </c>
      <c r="I34" s="105" t="s">
        <v>136</v>
      </c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7">
        <v>5.1681840000000001</v>
      </c>
      <c r="BP34" s="107">
        <v>5.4661429999999998</v>
      </c>
      <c r="BQ34" s="106"/>
      <c r="BR34" s="107">
        <v>5.5781130000000001</v>
      </c>
      <c r="BS34" s="107">
        <v>5.2764499999999996</v>
      </c>
      <c r="BT34" s="107">
        <v>5.2356309999999997</v>
      </c>
      <c r="BU34" s="107">
        <v>4.6926100000000002</v>
      </c>
      <c r="BV34" s="107">
        <v>4.7222759999999999</v>
      </c>
      <c r="BW34" s="107">
        <v>5.5934100000000004</v>
      </c>
      <c r="BX34" s="107">
        <v>4.9634460000000002</v>
      </c>
      <c r="BY34" s="107">
        <v>4.7240690000000001</v>
      </c>
      <c r="BZ34" s="107">
        <v>6.1252570000000004</v>
      </c>
      <c r="CA34" s="107">
        <v>6.6728829999999997</v>
      </c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6"/>
      <c r="CM34" s="106"/>
      <c r="CN34" s="106"/>
    </row>
    <row r="35" spans="1:92" x14ac:dyDescent="0.2">
      <c r="A35" s="105" t="s">
        <v>415</v>
      </c>
      <c r="B35" s="105" t="s">
        <v>378</v>
      </c>
      <c r="C35" s="105">
        <v>56</v>
      </c>
      <c r="D35" s="105" t="s">
        <v>135</v>
      </c>
      <c r="E35" s="105" t="s">
        <v>122</v>
      </c>
      <c r="F35" s="105" t="s">
        <v>85</v>
      </c>
      <c r="G35" s="105"/>
      <c r="H35" s="105" t="s">
        <v>403</v>
      </c>
      <c r="I35" s="105" t="s">
        <v>136</v>
      </c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7">
        <v>5.835788</v>
      </c>
      <c r="BP35" s="107">
        <v>9.2276939999999996</v>
      </c>
      <c r="BQ35" s="106"/>
      <c r="BR35" s="107">
        <v>11.249826000000001</v>
      </c>
      <c r="BS35" s="107">
        <v>10.775935</v>
      </c>
      <c r="BT35" s="107">
        <v>11.548999999999999</v>
      </c>
      <c r="BU35" s="107">
        <v>10.468</v>
      </c>
      <c r="BV35" s="107">
        <v>8.229006</v>
      </c>
      <c r="BW35" s="107">
        <v>9.4667259999999995</v>
      </c>
      <c r="BX35" s="107">
        <v>11.159508000000001</v>
      </c>
      <c r="BY35" s="107">
        <v>10.647909</v>
      </c>
      <c r="BZ35" s="107">
        <v>11.198867999999999</v>
      </c>
      <c r="CA35" s="107">
        <v>10.549505</v>
      </c>
      <c r="CB35" s="106"/>
      <c r="CC35" s="106"/>
      <c r="CD35" s="106"/>
      <c r="CE35" s="106"/>
      <c r="CF35" s="106"/>
      <c r="CG35" s="106"/>
      <c r="CH35" s="106"/>
      <c r="CI35" s="106"/>
      <c r="CJ35" s="106"/>
      <c r="CK35" s="106"/>
      <c r="CL35" s="106"/>
      <c r="CM35" s="106"/>
      <c r="CN35" s="106"/>
    </row>
    <row r="36" spans="1:92" x14ac:dyDescent="0.2">
      <c r="A36" s="105" t="s">
        <v>416</v>
      </c>
      <c r="B36" s="105" t="s">
        <v>378</v>
      </c>
      <c r="C36" s="105">
        <v>57</v>
      </c>
      <c r="D36" s="105" t="s">
        <v>135</v>
      </c>
      <c r="E36" s="105" t="s">
        <v>105</v>
      </c>
      <c r="F36" s="105" t="s">
        <v>85</v>
      </c>
      <c r="G36" s="105"/>
      <c r="H36" s="105" t="s">
        <v>417</v>
      </c>
      <c r="I36" s="105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7">
        <v>1.328956</v>
      </c>
      <c r="BS36" s="107">
        <v>3.6891229999999999</v>
      </c>
      <c r="BT36" s="107">
        <v>5.7131990000000004</v>
      </c>
      <c r="BU36" s="107">
        <v>6.0901319999999997</v>
      </c>
      <c r="BV36" s="107">
        <v>5.5961600000000002</v>
      </c>
      <c r="BW36" s="107">
        <v>4969</v>
      </c>
      <c r="BX36" s="107">
        <v>1.6337619999999999</v>
      </c>
      <c r="BY36" s="107">
        <v>5.7058070000000001</v>
      </c>
      <c r="BZ36" s="107">
        <v>6.6663949999999996</v>
      </c>
      <c r="CA36" s="107">
        <v>0.33033000000000001</v>
      </c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</row>
    <row r="37" spans="1:92" x14ac:dyDescent="0.2">
      <c r="A37" s="105" t="s">
        <v>418</v>
      </c>
      <c r="B37" s="105" t="s">
        <v>378</v>
      </c>
      <c r="C37" s="105">
        <v>60</v>
      </c>
      <c r="D37" s="105" t="s">
        <v>149</v>
      </c>
      <c r="E37" s="105" t="s">
        <v>98</v>
      </c>
      <c r="F37" s="105" t="s">
        <v>150</v>
      </c>
      <c r="G37" s="105"/>
      <c r="H37" s="105" t="s">
        <v>419</v>
      </c>
      <c r="I37" s="105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7">
        <v>9.3028820000000003</v>
      </c>
      <c r="BO37" s="106"/>
      <c r="BP37" s="106"/>
      <c r="BQ37" s="107">
        <v>8.1480720000000009</v>
      </c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</row>
    <row r="38" spans="1:92" x14ac:dyDescent="0.2">
      <c r="A38" s="105" t="s">
        <v>420</v>
      </c>
      <c r="B38" s="105" t="s">
        <v>378</v>
      </c>
      <c r="C38" s="105">
        <v>61</v>
      </c>
      <c r="D38" s="105" t="s">
        <v>149</v>
      </c>
      <c r="E38" s="105" t="s">
        <v>128</v>
      </c>
      <c r="F38" s="105" t="s">
        <v>150</v>
      </c>
      <c r="G38" s="105"/>
      <c r="H38" s="105" t="s">
        <v>419</v>
      </c>
      <c r="I38" s="105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7">
        <v>4.5498750000000001</v>
      </c>
      <c r="BO38" s="106"/>
      <c r="BP38" s="106"/>
      <c r="BQ38" s="107">
        <v>4.5323320000000002</v>
      </c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  <c r="CF38" s="106"/>
      <c r="CG38" s="106"/>
      <c r="CH38" s="106"/>
      <c r="CI38" s="106"/>
      <c r="CJ38" s="106"/>
      <c r="CK38" s="106"/>
      <c r="CL38" s="106"/>
      <c r="CM38" s="106"/>
      <c r="CN38" s="106"/>
    </row>
    <row r="39" spans="1:92" x14ac:dyDescent="0.2">
      <c r="A39" s="105" t="s">
        <v>421</v>
      </c>
      <c r="B39" s="105" t="s">
        <v>378</v>
      </c>
      <c r="C39" s="105">
        <v>62</v>
      </c>
      <c r="D39" s="105" t="s">
        <v>149</v>
      </c>
      <c r="E39" s="105" t="s">
        <v>122</v>
      </c>
      <c r="F39" s="105" t="s">
        <v>150</v>
      </c>
      <c r="G39" s="105"/>
      <c r="H39" s="105" t="s">
        <v>419</v>
      </c>
      <c r="I39" s="105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7">
        <v>3.84558</v>
      </c>
      <c r="BO39" s="106"/>
      <c r="BP39" s="106"/>
      <c r="BQ39" s="107">
        <v>8.3384839999999993</v>
      </c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  <c r="CH39" s="106"/>
      <c r="CI39" s="106"/>
      <c r="CJ39" s="106"/>
      <c r="CK39" s="106"/>
      <c r="CL39" s="106"/>
      <c r="CM39" s="106"/>
      <c r="CN39" s="106"/>
    </row>
    <row r="40" spans="1:92" x14ac:dyDescent="0.2">
      <c r="A40" s="105" t="s">
        <v>422</v>
      </c>
      <c r="B40" s="105" t="s">
        <v>378</v>
      </c>
      <c r="C40" s="105">
        <v>63</v>
      </c>
      <c r="D40" s="105" t="s">
        <v>149</v>
      </c>
      <c r="E40" s="105" t="s">
        <v>146</v>
      </c>
      <c r="F40" s="105" t="s">
        <v>150</v>
      </c>
      <c r="G40" s="105"/>
      <c r="H40" s="105" t="s">
        <v>419</v>
      </c>
      <c r="I40" s="105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7">
        <v>2.8954360000000001</v>
      </c>
      <c r="BO40" s="106"/>
      <c r="BP40" s="106"/>
      <c r="BQ40" s="107">
        <v>4.8014599999999996</v>
      </c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6"/>
      <c r="CL40" s="106"/>
      <c r="CM40" s="106"/>
      <c r="CN40" s="106"/>
    </row>
    <row r="41" spans="1:92" x14ac:dyDescent="0.2">
      <c r="A41" s="105" t="s">
        <v>423</v>
      </c>
      <c r="B41" s="105" t="s">
        <v>378</v>
      </c>
      <c r="C41" s="105">
        <v>64</v>
      </c>
      <c r="D41" s="105" t="s">
        <v>149</v>
      </c>
      <c r="E41" s="105" t="s">
        <v>154</v>
      </c>
      <c r="F41" s="105" t="s">
        <v>150</v>
      </c>
      <c r="G41" s="105"/>
      <c r="H41" s="105" t="s">
        <v>151</v>
      </c>
      <c r="I41" s="105" t="s">
        <v>155</v>
      </c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7">
        <v>2.9068800000000001</v>
      </c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06"/>
      <c r="CJ41" s="106"/>
      <c r="CK41" s="106"/>
      <c r="CL41" s="106"/>
      <c r="CM41" s="106"/>
      <c r="CN41" s="106"/>
    </row>
    <row r="42" spans="1:92" x14ac:dyDescent="0.2">
      <c r="A42" s="105" t="s">
        <v>424</v>
      </c>
      <c r="B42" s="105" t="s">
        <v>378</v>
      </c>
      <c r="C42" s="105">
        <v>65</v>
      </c>
      <c r="D42" s="105" t="s">
        <v>149</v>
      </c>
      <c r="E42" s="105" t="s">
        <v>147</v>
      </c>
      <c r="F42" s="105" t="s">
        <v>150</v>
      </c>
      <c r="G42" s="105"/>
      <c r="H42" s="105" t="s">
        <v>425</v>
      </c>
      <c r="I42" s="105" t="s">
        <v>156</v>
      </c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7">
        <v>0.121263</v>
      </c>
      <c r="BO42" s="107">
        <v>0.28602100000000003</v>
      </c>
      <c r="BP42" s="107">
        <v>0.16414999999999999</v>
      </c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</row>
    <row r="43" spans="1:92" x14ac:dyDescent="0.2">
      <c r="A43" s="105" t="s">
        <v>426</v>
      </c>
      <c r="B43" s="105" t="s">
        <v>378</v>
      </c>
      <c r="C43" s="105">
        <v>66</v>
      </c>
      <c r="D43" s="105" t="s">
        <v>149</v>
      </c>
      <c r="E43" s="105" t="s">
        <v>148</v>
      </c>
      <c r="F43" s="105" t="s">
        <v>150</v>
      </c>
      <c r="G43" s="105"/>
      <c r="H43" s="105" t="s">
        <v>419</v>
      </c>
      <c r="I43" s="105" t="s">
        <v>158</v>
      </c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7">
        <v>2.8200609999999999</v>
      </c>
      <c r="BO43" s="106"/>
      <c r="BP43" s="106"/>
      <c r="BQ43" s="107">
        <v>6.2819130000000003</v>
      </c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</row>
    <row r="44" spans="1:92" x14ac:dyDescent="0.2">
      <c r="A44" s="105" t="s">
        <v>427</v>
      </c>
      <c r="B44" s="105" t="s">
        <v>378</v>
      </c>
      <c r="C44" s="105">
        <v>69</v>
      </c>
      <c r="D44" s="105" t="s">
        <v>159</v>
      </c>
      <c r="E44" s="105" t="s">
        <v>98</v>
      </c>
      <c r="F44" s="105" t="s">
        <v>85</v>
      </c>
      <c r="G44" s="105"/>
      <c r="H44" s="105"/>
      <c r="I44" s="105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7">
        <v>0.5837</v>
      </c>
      <c r="BB44" s="107">
        <v>0.52</v>
      </c>
      <c r="BC44" s="107">
        <v>0.57599999999999996</v>
      </c>
      <c r="BD44" s="107">
        <v>0.68799999999999994</v>
      </c>
      <c r="BE44" s="107">
        <v>1.1180000000000001</v>
      </c>
      <c r="BF44" s="107">
        <v>0.48699999999999999</v>
      </c>
      <c r="BG44" s="107">
        <v>0.64700000000000002</v>
      </c>
      <c r="BH44" s="107">
        <v>0.92800000000000005</v>
      </c>
      <c r="BI44" s="107">
        <v>0.84499999999999997</v>
      </c>
      <c r="BJ44" s="107">
        <v>0.621</v>
      </c>
      <c r="BK44" s="107">
        <v>0.628</v>
      </c>
      <c r="BL44" s="107">
        <v>0.73699999999999999</v>
      </c>
      <c r="BM44" s="107">
        <v>0.55300000000000005</v>
      </c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  <c r="BY44" s="106"/>
      <c r="BZ44" s="106"/>
      <c r="CA44" s="106"/>
      <c r="CB44" s="106"/>
      <c r="CC44" s="106"/>
      <c r="CD44" s="106"/>
      <c r="CE44" s="106"/>
      <c r="CF44" s="106"/>
      <c r="CG44" s="106"/>
      <c r="CH44" s="106"/>
      <c r="CI44" s="106"/>
      <c r="CJ44" s="106"/>
      <c r="CK44" s="106"/>
      <c r="CL44" s="106"/>
      <c r="CM44" s="106"/>
      <c r="CN44" s="106"/>
    </row>
    <row r="45" spans="1:92" x14ac:dyDescent="0.2">
      <c r="A45" s="105" t="s">
        <v>428</v>
      </c>
      <c r="B45" s="105" t="s">
        <v>378</v>
      </c>
      <c r="C45" s="105">
        <v>70</v>
      </c>
      <c r="D45" s="105" t="s">
        <v>159</v>
      </c>
      <c r="E45" s="105" t="s">
        <v>104</v>
      </c>
      <c r="F45" s="105" t="s">
        <v>85</v>
      </c>
      <c r="G45" s="105"/>
      <c r="H45" s="105"/>
      <c r="I45" s="105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7">
        <v>2.4851999999999999</v>
      </c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7">
        <v>1.4890000000000001</v>
      </c>
      <c r="BB45" s="107">
        <v>0.57599999999999996</v>
      </c>
      <c r="BC45" s="107">
        <v>0.94799999999999995</v>
      </c>
      <c r="BD45" s="107">
        <v>0.94599999999999995</v>
      </c>
      <c r="BE45" s="107">
        <v>0.66200000000000003</v>
      </c>
      <c r="BF45" s="107">
        <v>0.56100000000000005</v>
      </c>
      <c r="BG45" s="107">
        <v>0.92300000000000004</v>
      </c>
      <c r="BH45" s="107">
        <v>1.117</v>
      </c>
      <c r="BI45" s="107">
        <v>0.17599999999999999</v>
      </c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6"/>
      <c r="BW45" s="106"/>
      <c r="BX45" s="106"/>
      <c r="BY45" s="106"/>
      <c r="BZ45" s="106"/>
      <c r="CA45" s="106"/>
      <c r="CB45" s="106"/>
      <c r="CC45" s="106"/>
      <c r="CD45" s="106"/>
      <c r="CE45" s="106"/>
      <c r="CF45" s="106"/>
      <c r="CG45" s="106"/>
      <c r="CH45" s="106"/>
      <c r="CI45" s="106"/>
      <c r="CJ45" s="106"/>
      <c r="CK45" s="106"/>
      <c r="CL45" s="106"/>
      <c r="CM45" s="106"/>
      <c r="CN45" s="106"/>
    </row>
    <row r="46" spans="1:92" x14ac:dyDescent="0.2">
      <c r="A46" s="105" t="s">
        <v>429</v>
      </c>
      <c r="B46" s="105" t="s">
        <v>378</v>
      </c>
      <c r="C46" s="105">
        <v>76</v>
      </c>
      <c r="D46" s="105" t="s">
        <v>148</v>
      </c>
      <c r="E46" s="105" t="s">
        <v>93</v>
      </c>
      <c r="F46" s="105" t="s">
        <v>85</v>
      </c>
      <c r="G46" s="105"/>
      <c r="H46" s="105"/>
      <c r="I46" s="105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7">
        <v>1.0229999999999999</v>
      </c>
      <c r="BB46" s="107">
        <v>0.745</v>
      </c>
      <c r="BC46" s="107">
        <v>0.874</v>
      </c>
      <c r="BD46" s="107">
        <v>1.3380000000000001</v>
      </c>
      <c r="BE46" s="107">
        <v>1.181</v>
      </c>
      <c r="BF46" s="107">
        <v>0.97699999999999998</v>
      </c>
      <c r="BG46" s="107">
        <v>0.626</v>
      </c>
      <c r="BH46" s="107">
        <v>1.0680000000000001</v>
      </c>
      <c r="BI46" s="107">
        <v>1.0960000000000001</v>
      </c>
      <c r="BJ46" s="107">
        <v>1.0860000000000001</v>
      </c>
      <c r="BK46" s="107">
        <v>1.292</v>
      </c>
      <c r="BL46" s="107">
        <v>0.97</v>
      </c>
      <c r="BM46" s="107">
        <v>1.3380000000000001</v>
      </c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E46" s="106"/>
      <c r="CF46" s="106"/>
      <c r="CG46" s="106"/>
      <c r="CH46" s="106"/>
      <c r="CI46" s="106"/>
      <c r="CJ46" s="106"/>
      <c r="CK46" s="106"/>
      <c r="CL46" s="106"/>
      <c r="CM46" s="106"/>
      <c r="CN46" s="106"/>
    </row>
    <row r="47" spans="1:92" x14ac:dyDescent="0.2">
      <c r="A47" s="105" t="s">
        <v>430</v>
      </c>
      <c r="B47" s="105" t="s">
        <v>378</v>
      </c>
      <c r="C47" s="105">
        <v>77</v>
      </c>
      <c r="D47" s="105" t="s">
        <v>148</v>
      </c>
      <c r="E47" s="105" t="s">
        <v>105</v>
      </c>
      <c r="F47" s="105" t="s">
        <v>85</v>
      </c>
      <c r="G47" s="105"/>
      <c r="H47" s="105"/>
      <c r="I47" s="105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7">
        <v>0.8256</v>
      </c>
      <c r="AI47" s="107">
        <v>1.3420000000000001</v>
      </c>
      <c r="AJ47" s="107">
        <v>1.2398</v>
      </c>
      <c r="AK47" s="107">
        <v>0.35610000000000003</v>
      </c>
      <c r="AL47" s="107">
        <v>1.3331999999999999</v>
      </c>
      <c r="AM47" s="107">
        <v>1.0325</v>
      </c>
      <c r="AN47" s="107">
        <v>1.3445</v>
      </c>
      <c r="AO47" s="107">
        <v>1.0117</v>
      </c>
      <c r="AP47" s="107">
        <v>0.54090000000000005</v>
      </c>
      <c r="AQ47" s="107">
        <v>0.56089999999999995</v>
      </c>
      <c r="AR47" s="107">
        <v>4.4999999999999997E-3</v>
      </c>
      <c r="AS47" s="106"/>
      <c r="AT47" s="106"/>
      <c r="AU47" s="106"/>
      <c r="AV47" s="106"/>
      <c r="AW47" s="106"/>
      <c r="AX47" s="106"/>
      <c r="AY47" s="106"/>
      <c r="AZ47" s="106"/>
      <c r="BA47" s="107">
        <v>0.77759999999999996</v>
      </c>
      <c r="BB47" s="107">
        <v>0.97599999999999998</v>
      </c>
      <c r="BC47" s="107">
        <v>0.24</v>
      </c>
      <c r="BD47" s="107">
        <v>0.56000000000000005</v>
      </c>
      <c r="BE47" s="107">
        <v>1.0209999999999999</v>
      </c>
      <c r="BF47" s="107">
        <v>0.96699999999999997</v>
      </c>
      <c r="BG47" s="107">
        <v>1.2150000000000001</v>
      </c>
      <c r="BH47" s="107">
        <v>0.191</v>
      </c>
      <c r="BI47" s="107">
        <v>0</v>
      </c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6"/>
      <c r="BW47" s="106"/>
      <c r="BX47" s="106"/>
      <c r="BY47" s="106"/>
      <c r="BZ47" s="106"/>
      <c r="CA47" s="106"/>
      <c r="CB47" s="106"/>
      <c r="CC47" s="106"/>
      <c r="CD47" s="106"/>
      <c r="CE47" s="106"/>
      <c r="CF47" s="106"/>
      <c r="CG47" s="106"/>
      <c r="CH47" s="106"/>
      <c r="CI47" s="106"/>
      <c r="CJ47" s="106"/>
      <c r="CK47" s="106"/>
      <c r="CL47" s="106"/>
      <c r="CM47" s="106"/>
      <c r="CN47" s="106"/>
    </row>
    <row r="48" spans="1:92" x14ac:dyDescent="0.2">
      <c r="A48" s="105" t="s">
        <v>431</v>
      </c>
      <c r="B48" s="105" t="s">
        <v>378</v>
      </c>
      <c r="C48" s="105">
        <v>80</v>
      </c>
      <c r="D48" s="105" t="s">
        <v>122</v>
      </c>
      <c r="E48" s="105" t="s">
        <v>103</v>
      </c>
      <c r="F48" s="105" t="s">
        <v>85</v>
      </c>
      <c r="G48" s="105"/>
      <c r="H48" s="105"/>
      <c r="I48" s="105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7">
        <v>0.77569999999999995</v>
      </c>
      <c r="BB48" s="107">
        <v>0.71599999999999997</v>
      </c>
      <c r="BC48" s="107">
        <v>0.71799999999999997</v>
      </c>
      <c r="BD48" s="107">
        <v>0.82399999999999995</v>
      </c>
      <c r="BE48" s="107">
        <v>0.77400000000000002</v>
      </c>
      <c r="BF48" s="107">
        <v>0.78800000000000003</v>
      </c>
      <c r="BG48" s="107">
        <v>0.82699999999999996</v>
      </c>
      <c r="BH48" s="107">
        <v>0.79800000000000004</v>
      </c>
      <c r="BI48" s="107">
        <v>0.307</v>
      </c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E48" s="106"/>
      <c r="CF48" s="106"/>
      <c r="CG48" s="106"/>
      <c r="CH48" s="106"/>
      <c r="CI48" s="106"/>
      <c r="CJ48" s="106"/>
      <c r="CK48" s="106"/>
      <c r="CL48" s="106"/>
      <c r="CM48" s="106"/>
      <c r="CN48" s="106"/>
    </row>
    <row r="49" spans="1:92" x14ac:dyDescent="0.2">
      <c r="A49" s="105" t="s">
        <v>432</v>
      </c>
      <c r="B49" s="105" t="s">
        <v>378</v>
      </c>
      <c r="C49" s="105">
        <v>82</v>
      </c>
      <c r="D49" s="105" t="s">
        <v>122</v>
      </c>
      <c r="E49" s="105" t="s">
        <v>161</v>
      </c>
      <c r="F49" s="105" t="s">
        <v>126</v>
      </c>
      <c r="G49" s="105"/>
      <c r="H49" s="105"/>
      <c r="I49" s="105" t="s">
        <v>162</v>
      </c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7">
        <v>4.7473000000000001</v>
      </c>
      <c r="AE49" s="107">
        <v>3.2370000000000001</v>
      </c>
      <c r="AF49" s="107">
        <v>4.6962000000000002</v>
      </c>
      <c r="AG49" s="107">
        <v>4.3003</v>
      </c>
      <c r="AH49" s="107">
        <v>4.8532000000000002</v>
      </c>
      <c r="AI49" s="107">
        <v>4.5347999999999997</v>
      </c>
      <c r="AJ49" s="107">
        <v>4.5457999999999998</v>
      </c>
      <c r="AK49" s="107">
        <v>4.8646000000000003</v>
      </c>
      <c r="AL49" s="107">
        <v>3.2650999999999999</v>
      </c>
      <c r="AM49" s="107">
        <v>4.9584999999999999</v>
      </c>
      <c r="AN49" s="107">
        <v>5.6158999999999999</v>
      </c>
      <c r="AO49" s="107">
        <v>5.1174999999999997</v>
      </c>
      <c r="AP49" s="107">
        <v>3012200</v>
      </c>
      <c r="AQ49" s="107">
        <v>3221500</v>
      </c>
      <c r="AR49" s="107">
        <v>3969100</v>
      </c>
      <c r="AS49" s="107">
        <v>3221200</v>
      </c>
      <c r="AT49" s="107">
        <v>2511200</v>
      </c>
      <c r="AU49" s="107">
        <v>2319500</v>
      </c>
      <c r="AV49" s="107">
        <v>3567400</v>
      </c>
      <c r="AW49" s="107">
        <v>2922400</v>
      </c>
      <c r="AX49" s="107">
        <v>1753000</v>
      </c>
      <c r="AY49" s="107">
        <v>2125600</v>
      </c>
      <c r="AZ49" s="107">
        <v>4562200</v>
      </c>
      <c r="BA49" s="107">
        <v>3.6473</v>
      </c>
      <c r="BB49" s="107">
        <v>2842</v>
      </c>
      <c r="BC49" s="107">
        <v>2358</v>
      </c>
      <c r="BD49" s="107">
        <v>2358</v>
      </c>
      <c r="BE49" s="107">
        <v>3804</v>
      </c>
      <c r="BF49" s="107">
        <v>3804</v>
      </c>
      <c r="BG49" s="107">
        <v>3804</v>
      </c>
      <c r="BH49" s="107">
        <v>3804</v>
      </c>
      <c r="BI49" s="107">
        <v>3804</v>
      </c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</row>
    <row r="50" spans="1:92" x14ac:dyDescent="0.2">
      <c r="A50" s="105" t="s">
        <v>433</v>
      </c>
      <c r="B50" s="105" t="s">
        <v>378</v>
      </c>
      <c r="C50" s="105">
        <v>83</v>
      </c>
      <c r="D50" s="105" t="s">
        <v>122</v>
      </c>
      <c r="E50" s="105" t="s">
        <v>163</v>
      </c>
      <c r="F50" s="105" t="s">
        <v>126</v>
      </c>
      <c r="G50" s="105"/>
      <c r="H50" s="105"/>
      <c r="I50" s="105" t="s">
        <v>164</v>
      </c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7">
        <v>0.95299999999999996</v>
      </c>
      <c r="AO50" s="107">
        <v>1.1660999999999999</v>
      </c>
      <c r="AP50" s="107">
        <v>814000</v>
      </c>
      <c r="AQ50" s="107">
        <v>755700</v>
      </c>
      <c r="AR50" s="107">
        <v>867000</v>
      </c>
      <c r="AS50" s="107">
        <v>961200</v>
      </c>
      <c r="AT50" s="106"/>
      <c r="AU50" s="106"/>
      <c r="AV50" s="106"/>
      <c r="AW50" s="106"/>
      <c r="AX50" s="106"/>
      <c r="AY50" s="106"/>
      <c r="AZ50" s="106"/>
      <c r="BA50" s="107">
        <v>1.0024999999999999</v>
      </c>
      <c r="BB50" s="107">
        <v>691</v>
      </c>
      <c r="BC50" s="107">
        <v>998</v>
      </c>
      <c r="BD50" s="107">
        <v>998</v>
      </c>
      <c r="BE50" s="107">
        <v>952</v>
      </c>
      <c r="BF50" s="107">
        <v>952</v>
      </c>
      <c r="BG50" s="107">
        <v>952</v>
      </c>
      <c r="BH50" s="107">
        <v>952</v>
      </c>
      <c r="BI50" s="107">
        <v>952</v>
      </c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</row>
    <row r="51" spans="1:92" x14ac:dyDescent="0.2">
      <c r="A51" s="105" t="s">
        <v>434</v>
      </c>
      <c r="B51" s="105" t="s">
        <v>378</v>
      </c>
      <c r="C51" s="105">
        <v>86</v>
      </c>
      <c r="D51" s="105" t="s">
        <v>165</v>
      </c>
      <c r="E51" s="105" t="s">
        <v>98</v>
      </c>
      <c r="F51" s="105" t="s">
        <v>85</v>
      </c>
      <c r="G51" s="105"/>
      <c r="H51" s="105" t="s">
        <v>435</v>
      </c>
      <c r="I51" s="105" t="s">
        <v>166</v>
      </c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7">
        <v>5.0215069999999997</v>
      </c>
      <c r="BP51" s="107">
        <v>5.1060150000000002</v>
      </c>
      <c r="BQ51" s="106"/>
      <c r="BR51" s="107">
        <v>5.4267640000000004</v>
      </c>
      <c r="BS51" s="107">
        <v>5.9278680000000001</v>
      </c>
      <c r="BT51" s="107">
        <v>4.4161970000000004</v>
      </c>
      <c r="BU51" s="107">
        <v>4.9825100000000004</v>
      </c>
      <c r="BV51" s="107">
        <v>5.7358779999999996</v>
      </c>
      <c r="BW51" s="107">
        <v>4.352722</v>
      </c>
      <c r="BX51" s="107">
        <v>2.78714</v>
      </c>
      <c r="BY51" s="107">
        <v>4.7474689999999997</v>
      </c>
      <c r="BZ51" s="107">
        <v>4.6390969999999996</v>
      </c>
      <c r="CA51" s="107">
        <v>5.9255089999999999</v>
      </c>
      <c r="CB51" s="106"/>
      <c r="CC51" s="106"/>
      <c r="CD51" s="106"/>
      <c r="CE51" s="106"/>
      <c r="CF51" s="106"/>
      <c r="CG51" s="106"/>
      <c r="CH51" s="106"/>
      <c r="CI51" s="106"/>
      <c r="CJ51" s="106"/>
      <c r="CK51" s="106"/>
      <c r="CL51" s="106"/>
      <c r="CM51" s="106"/>
      <c r="CN51" s="106"/>
    </row>
    <row r="52" spans="1:92" x14ac:dyDescent="0.2">
      <c r="A52" s="105" t="s">
        <v>436</v>
      </c>
      <c r="B52" s="105" t="s">
        <v>378</v>
      </c>
      <c r="C52" s="105">
        <v>87</v>
      </c>
      <c r="D52" s="105" t="s">
        <v>165</v>
      </c>
      <c r="E52" s="105" t="s">
        <v>104</v>
      </c>
      <c r="F52" s="105" t="s">
        <v>85</v>
      </c>
      <c r="G52" s="105"/>
      <c r="H52" s="105" t="s">
        <v>437</v>
      </c>
      <c r="I52" s="105" t="s">
        <v>167</v>
      </c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7">
        <v>5.1290329999999997</v>
      </c>
      <c r="BP52" s="107">
        <v>5.1069240000000002</v>
      </c>
      <c r="BQ52" s="107">
        <v>5.4186880000000004</v>
      </c>
      <c r="BR52" s="107">
        <v>4.6704189999999999</v>
      </c>
      <c r="BS52" s="107">
        <v>6.0571789999999996</v>
      </c>
      <c r="BT52" s="107">
        <v>7.1563049999999997</v>
      </c>
      <c r="BU52" s="107">
        <v>6.3678549999999996</v>
      </c>
      <c r="BV52" s="107">
        <v>6.270721</v>
      </c>
      <c r="BW52" s="107">
        <v>4.3957110000000004</v>
      </c>
      <c r="BX52" s="107">
        <v>3.3306140000000002</v>
      </c>
      <c r="BY52" s="107">
        <v>4984756</v>
      </c>
      <c r="BZ52" s="107">
        <v>3.5134569999999998</v>
      </c>
      <c r="CA52" s="107">
        <v>2.2298089999999999</v>
      </c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</row>
    <row r="53" spans="1:92" x14ac:dyDescent="0.2">
      <c r="A53" s="105" t="s">
        <v>438</v>
      </c>
      <c r="B53" s="105" t="s">
        <v>378</v>
      </c>
      <c r="C53" s="105">
        <v>88</v>
      </c>
      <c r="D53" s="105" t="s">
        <v>165</v>
      </c>
      <c r="E53" s="105" t="s">
        <v>101</v>
      </c>
      <c r="F53" s="105" t="s">
        <v>85</v>
      </c>
      <c r="G53" s="105"/>
      <c r="H53" s="105" t="s">
        <v>439</v>
      </c>
      <c r="I53" s="105" t="s">
        <v>168</v>
      </c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7">
        <v>2.7784390000000001</v>
      </c>
      <c r="BP53" s="107">
        <v>2.6616710000000001</v>
      </c>
      <c r="BQ53" s="107">
        <v>3.0979260000000002</v>
      </c>
      <c r="BR53" s="107">
        <v>2.6737609999999998</v>
      </c>
      <c r="BS53" s="107">
        <v>3.0527669999999998</v>
      </c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6"/>
      <c r="CL53" s="106"/>
      <c r="CM53" s="106"/>
      <c r="CN53" s="106"/>
    </row>
    <row r="54" spans="1:92" x14ac:dyDescent="0.2">
      <c r="A54" s="105" t="s">
        <v>440</v>
      </c>
      <c r="B54" s="105" t="s">
        <v>378</v>
      </c>
      <c r="C54" s="105">
        <v>89</v>
      </c>
      <c r="D54" s="105" t="s">
        <v>165</v>
      </c>
      <c r="E54" s="105" t="s">
        <v>409</v>
      </c>
      <c r="F54" s="105" t="s">
        <v>85</v>
      </c>
      <c r="G54" s="105"/>
      <c r="H54" s="105" t="s">
        <v>137</v>
      </c>
      <c r="I54" s="105" t="s">
        <v>169</v>
      </c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7">
        <v>1.2945960000000001</v>
      </c>
      <c r="BP54" s="107">
        <v>0.73718600000000001</v>
      </c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</row>
    <row r="55" spans="1:92" x14ac:dyDescent="0.2">
      <c r="A55" s="105" t="s">
        <v>441</v>
      </c>
      <c r="B55" s="105" t="s">
        <v>378</v>
      </c>
      <c r="C55" s="105">
        <v>90</v>
      </c>
      <c r="D55" s="105" t="s">
        <v>165</v>
      </c>
      <c r="E55" s="105" t="s">
        <v>146</v>
      </c>
      <c r="F55" s="105" t="s">
        <v>85</v>
      </c>
      <c r="G55" s="105"/>
      <c r="H55" s="105" t="s">
        <v>435</v>
      </c>
      <c r="I55" s="105" t="s">
        <v>170</v>
      </c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7">
        <v>4.0734450000000004</v>
      </c>
      <c r="BP55" s="107">
        <v>4.345351</v>
      </c>
      <c r="BQ55" s="106"/>
      <c r="BR55" s="107">
        <v>3.8111090000000001</v>
      </c>
      <c r="BS55" s="107">
        <v>2.7642039999999999</v>
      </c>
      <c r="BT55" s="107">
        <v>2.7149930000000002</v>
      </c>
      <c r="BU55" s="107">
        <v>3.1103679999999998</v>
      </c>
      <c r="BV55" s="107">
        <v>3.584946</v>
      </c>
      <c r="BW55" s="107">
        <v>2.2285840000000001</v>
      </c>
      <c r="BX55" s="107">
        <v>2.2403189999999999</v>
      </c>
      <c r="BY55" s="107">
        <v>2.8853360000000001</v>
      </c>
      <c r="BZ55" s="107">
        <v>2.695074</v>
      </c>
      <c r="CA55" s="107">
        <v>3.2054909999999999</v>
      </c>
      <c r="CB55" s="106"/>
      <c r="CC55" s="106"/>
      <c r="CD55" s="106"/>
      <c r="CE55" s="106"/>
      <c r="CF55" s="106"/>
      <c r="CG55" s="106"/>
      <c r="CH55" s="106"/>
      <c r="CI55" s="106"/>
      <c r="CJ55" s="106"/>
      <c r="CK55" s="106"/>
      <c r="CL55" s="106"/>
      <c r="CM55" s="106"/>
      <c r="CN55" s="106"/>
    </row>
    <row r="56" spans="1:92" x14ac:dyDescent="0.2">
      <c r="A56" s="105" t="s">
        <v>442</v>
      </c>
      <c r="B56" s="105" t="s">
        <v>378</v>
      </c>
      <c r="C56" s="105">
        <v>91</v>
      </c>
      <c r="D56" s="105" t="s">
        <v>165</v>
      </c>
      <c r="E56" s="105" t="s">
        <v>147</v>
      </c>
      <c r="F56" s="105" t="s">
        <v>85</v>
      </c>
      <c r="G56" s="105"/>
      <c r="H56" s="105" t="s">
        <v>443</v>
      </c>
      <c r="I56" s="105" t="s">
        <v>171</v>
      </c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7">
        <v>0.28602100000000003</v>
      </c>
      <c r="BP56" s="107">
        <v>0.16414999999999999</v>
      </c>
      <c r="BQ56" s="106"/>
      <c r="BR56" s="106"/>
      <c r="BS56" s="106"/>
      <c r="BT56" s="106"/>
      <c r="BU56" s="106"/>
      <c r="BV56" s="106"/>
      <c r="BW56" s="106"/>
      <c r="BX56" s="106"/>
      <c r="BY56" s="107">
        <v>2446131</v>
      </c>
      <c r="BZ56" s="107">
        <v>3.1947899999999998</v>
      </c>
      <c r="CA56" s="107">
        <v>3.2814899999999998</v>
      </c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</row>
    <row r="57" spans="1:92" x14ac:dyDescent="0.2">
      <c r="A57" s="105" t="s">
        <v>444</v>
      </c>
      <c r="B57" s="105" t="s">
        <v>378</v>
      </c>
      <c r="C57" s="105">
        <v>92</v>
      </c>
      <c r="D57" s="105" t="s">
        <v>165</v>
      </c>
      <c r="E57" s="105" t="s">
        <v>148</v>
      </c>
      <c r="F57" s="105" t="s">
        <v>85</v>
      </c>
      <c r="G57" s="105"/>
      <c r="H57" s="105" t="s">
        <v>437</v>
      </c>
      <c r="I57" s="105" t="s">
        <v>168</v>
      </c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7">
        <v>2.5851359999999999</v>
      </c>
      <c r="BP57" s="107">
        <v>4.6387790000000004</v>
      </c>
      <c r="BQ57" s="107">
        <v>6.2819130000000003</v>
      </c>
      <c r="BR57" s="107">
        <v>7.9008089999999997</v>
      </c>
      <c r="BS57" s="107">
        <v>5.6866539999999999</v>
      </c>
      <c r="BT57" s="107">
        <v>5.9091680000000002</v>
      </c>
      <c r="BU57" s="107">
        <v>5.2824239999999998</v>
      </c>
      <c r="BV57" s="107">
        <v>4.2996480000000004</v>
      </c>
      <c r="BW57" s="107">
        <v>5.2791689999999996</v>
      </c>
      <c r="BX57" s="107">
        <v>4.0353870000000001</v>
      </c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N57" s="106"/>
    </row>
    <row r="58" spans="1:92" x14ac:dyDescent="0.2">
      <c r="A58" s="105" t="s">
        <v>445</v>
      </c>
      <c r="B58" s="105" t="s">
        <v>378</v>
      </c>
      <c r="C58" s="105">
        <v>94</v>
      </c>
      <c r="D58" s="105" t="s">
        <v>165</v>
      </c>
      <c r="E58" s="105" t="s">
        <v>105</v>
      </c>
      <c r="F58" s="105" t="s">
        <v>85</v>
      </c>
      <c r="G58" s="105"/>
      <c r="H58" s="105" t="s">
        <v>446</v>
      </c>
      <c r="I58" s="105" t="s">
        <v>167</v>
      </c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7">
        <v>0.121818</v>
      </c>
      <c r="BR58" s="107">
        <v>0.86056100000000002</v>
      </c>
      <c r="BS58" s="107">
        <v>2.1181730000000001</v>
      </c>
      <c r="BT58" s="107">
        <v>3.3413940000000002</v>
      </c>
      <c r="BU58" s="107">
        <v>3.9345979999999998</v>
      </c>
      <c r="BV58" s="107">
        <v>3.461741</v>
      </c>
      <c r="BW58" s="107">
        <v>4.5649999999999996E-3</v>
      </c>
      <c r="BX58" s="107">
        <v>1.1966509999999999</v>
      </c>
      <c r="BY58" s="107">
        <v>3.717149</v>
      </c>
      <c r="BZ58" s="107">
        <v>4.2774349999999997</v>
      </c>
      <c r="CA58" s="107">
        <v>0.21578800000000001</v>
      </c>
      <c r="CB58" s="106"/>
      <c r="CC58" s="106"/>
      <c r="CD58" s="106"/>
      <c r="CE58" s="106"/>
      <c r="CF58" s="106"/>
      <c r="CG58" s="106"/>
      <c r="CH58" s="106"/>
      <c r="CI58" s="106"/>
      <c r="CJ58" s="106"/>
      <c r="CK58" s="106"/>
      <c r="CL58" s="106"/>
      <c r="CM58" s="106"/>
      <c r="CN58" s="106"/>
    </row>
    <row r="59" spans="1:92" x14ac:dyDescent="0.2">
      <c r="A59" s="105" t="s">
        <v>447</v>
      </c>
      <c r="B59" s="105" t="s">
        <v>378</v>
      </c>
      <c r="C59" s="105">
        <v>95</v>
      </c>
      <c r="D59" s="105" t="s">
        <v>165</v>
      </c>
      <c r="E59" s="105" t="s">
        <v>128</v>
      </c>
      <c r="F59" s="105" t="s">
        <v>85</v>
      </c>
      <c r="G59" s="105"/>
      <c r="H59" s="105" t="s">
        <v>448</v>
      </c>
      <c r="I59" s="105" t="s">
        <v>170</v>
      </c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7">
        <v>4.3429719999999996</v>
      </c>
      <c r="BP59" s="107">
        <v>4.8045499999999999</v>
      </c>
      <c r="BQ59" s="106"/>
      <c r="BR59" s="107">
        <v>4.7438570000000002</v>
      </c>
      <c r="BS59" s="107">
        <v>4.6050789999999999</v>
      </c>
      <c r="BT59" s="107">
        <v>4.827</v>
      </c>
      <c r="BU59" s="107">
        <v>4.5359999999999996</v>
      </c>
      <c r="BV59" s="107">
        <v>4.1110769999999999</v>
      </c>
      <c r="BW59" s="107">
        <v>4.4698669999999998</v>
      </c>
      <c r="BX59" s="107">
        <v>3.9768979999999998</v>
      </c>
      <c r="BY59" s="107">
        <v>4.2946759999999999</v>
      </c>
      <c r="BZ59" s="107">
        <v>5.3481779999999999</v>
      </c>
      <c r="CA59" s="107">
        <v>5.9921139999999999</v>
      </c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</row>
    <row r="60" spans="1:92" x14ac:dyDescent="0.2">
      <c r="A60" s="105" t="s">
        <v>449</v>
      </c>
      <c r="B60" s="105" t="s">
        <v>378</v>
      </c>
      <c r="C60" s="105">
        <v>96</v>
      </c>
      <c r="D60" s="105" t="s">
        <v>165</v>
      </c>
      <c r="E60" s="105" t="s">
        <v>122</v>
      </c>
      <c r="F60" s="105" t="s">
        <v>85</v>
      </c>
      <c r="G60" s="105"/>
      <c r="H60" s="105" t="s">
        <v>450</v>
      </c>
      <c r="I60" s="105" t="s">
        <v>168</v>
      </c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7">
        <v>4.7875680000000003</v>
      </c>
      <c r="BP60" s="107">
        <v>7.5271020000000002</v>
      </c>
      <c r="BQ60" s="107">
        <v>8.3384839999999993</v>
      </c>
      <c r="BR60" s="107">
        <v>8.9708780000000008</v>
      </c>
      <c r="BS60" s="107">
        <v>8.8389670000000002</v>
      </c>
      <c r="BT60" s="107">
        <v>9.0920000000000005</v>
      </c>
      <c r="BU60" s="107">
        <v>8.1379999999999999</v>
      </c>
      <c r="BV60" s="107">
        <v>6.3654770000000003</v>
      </c>
      <c r="BW60" s="107">
        <v>7.2799589999999998</v>
      </c>
      <c r="BX60" s="107">
        <v>8.3771550000000001</v>
      </c>
      <c r="BY60" s="107">
        <v>7.8725880000000004</v>
      </c>
      <c r="BZ60" s="107">
        <v>8.0035360000000004</v>
      </c>
      <c r="CA60" s="107">
        <v>7.5390750000000004</v>
      </c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</row>
    <row r="61" spans="1:92" x14ac:dyDescent="0.2">
      <c r="A61" s="105" t="s">
        <v>451</v>
      </c>
      <c r="B61" s="105" t="s">
        <v>378</v>
      </c>
      <c r="C61" s="105">
        <v>104</v>
      </c>
      <c r="D61" s="105" t="s">
        <v>179</v>
      </c>
      <c r="E61" s="105" t="s">
        <v>98</v>
      </c>
      <c r="F61" s="105" t="s">
        <v>85</v>
      </c>
      <c r="G61" s="105"/>
      <c r="H61" s="105"/>
      <c r="I61" s="105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7">
        <v>0.38700000000000001</v>
      </c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</row>
    <row r="62" spans="1:92" x14ac:dyDescent="0.2">
      <c r="A62" s="105" t="s">
        <v>452</v>
      </c>
      <c r="B62" s="105" t="s">
        <v>378</v>
      </c>
      <c r="C62" s="105">
        <v>113</v>
      </c>
      <c r="D62" s="105" t="s">
        <v>182</v>
      </c>
      <c r="E62" s="105" t="s">
        <v>98</v>
      </c>
      <c r="F62" s="105" t="s">
        <v>85</v>
      </c>
      <c r="G62" s="105"/>
      <c r="H62" s="105" t="s">
        <v>435</v>
      </c>
      <c r="I62" s="105" t="s">
        <v>183</v>
      </c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7">
        <v>0.69</v>
      </c>
      <c r="AT62" s="106"/>
      <c r="AU62" s="107">
        <v>0.69</v>
      </c>
      <c r="AV62" s="107">
        <v>0.51</v>
      </c>
      <c r="AW62" s="107">
        <v>0.39</v>
      </c>
      <c r="AX62" s="107">
        <v>0.5</v>
      </c>
      <c r="AY62" s="107">
        <v>0.4</v>
      </c>
      <c r="AZ62" s="107">
        <v>0.6</v>
      </c>
      <c r="BA62" s="107">
        <v>0.6</v>
      </c>
      <c r="BB62" s="107">
        <v>0.35</v>
      </c>
      <c r="BC62" s="107">
        <v>0.7</v>
      </c>
      <c r="BD62" s="107">
        <v>0.3</v>
      </c>
      <c r="BE62" s="107">
        <v>0</v>
      </c>
      <c r="BF62" s="107">
        <v>0.4</v>
      </c>
      <c r="BG62" s="107">
        <v>0</v>
      </c>
      <c r="BH62" s="107">
        <v>0.3</v>
      </c>
      <c r="BI62" s="107">
        <v>0.5</v>
      </c>
      <c r="BJ62" s="106"/>
      <c r="BK62" s="106"/>
      <c r="BL62" s="106"/>
      <c r="BM62" s="106"/>
      <c r="BN62" s="106"/>
      <c r="BO62" s="107">
        <v>3.5292159999999999</v>
      </c>
      <c r="BP62" s="107">
        <v>3.2860610000000001</v>
      </c>
      <c r="BQ62" s="106"/>
      <c r="BR62" s="107">
        <v>3.249844</v>
      </c>
      <c r="BS62" s="107">
        <v>3.0873460000000001</v>
      </c>
      <c r="BT62" s="107">
        <v>1.8580589999999999</v>
      </c>
      <c r="BU62" s="107">
        <v>2.152145</v>
      </c>
      <c r="BV62" s="107">
        <v>2.2535050000000001</v>
      </c>
      <c r="BW62" s="107">
        <v>2.6819860000000002</v>
      </c>
      <c r="BX62" s="107">
        <v>1.7374160000000001</v>
      </c>
      <c r="BY62" s="107">
        <v>2.2347869999999999</v>
      </c>
      <c r="BZ62" s="107">
        <v>1.7125440000000001</v>
      </c>
      <c r="CA62" s="107">
        <v>1.4511449999999999</v>
      </c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</row>
    <row r="63" spans="1:92" x14ac:dyDescent="0.2">
      <c r="A63" s="105" t="s">
        <v>453</v>
      </c>
      <c r="B63" s="105" t="s">
        <v>378</v>
      </c>
      <c r="C63" s="105">
        <v>114</v>
      </c>
      <c r="D63" s="105" t="s">
        <v>182</v>
      </c>
      <c r="E63" s="105" t="s">
        <v>144</v>
      </c>
      <c r="F63" s="105" t="s">
        <v>85</v>
      </c>
      <c r="G63" s="105"/>
      <c r="H63" s="105" t="s">
        <v>406</v>
      </c>
      <c r="I63" s="105" t="s">
        <v>168</v>
      </c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7">
        <v>6.8104779999999998</v>
      </c>
      <c r="BP63" s="107">
        <v>6.5149679999999996</v>
      </c>
      <c r="BQ63" s="106"/>
      <c r="BR63" s="107">
        <v>7.8374940000000004</v>
      </c>
      <c r="BS63" s="107">
        <v>8.3942990000000002</v>
      </c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</row>
    <row r="64" spans="1:92" x14ac:dyDescent="0.2">
      <c r="A64" s="105" t="s">
        <v>454</v>
      </c>
      <c r="B64" s="105" t="s">
        <v>378</v>
      </c>
      <c r="C64" s="105">
        <v>115</v>
      </c>
      <c r="D64" s="105" t="s">
        <v>182</v>
      </c>
      <c r="E64" s="105" t="s">
        <v>146</v>
      </c>
      <c r="F64" s="105" t="s">
        <v>85</v>
      </c>
      <c r="G64" s="105"/>
      <c r="H64" s="105" t="s">
        <v>455</v>
      </c>
      <c r="I64" s="105" t="s">
        <v>183</v>
      </c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7">
        <v>0.12</v>
      </c>
      <c r="AV64" s="107">
        <v>0.11</v>
      </c>
      <c r="AW64" s="107">
        <v>0.09</v>
      </c>
      <c r="AX64" s="107">
        <v>0.11</v>
      </c>
      <c r="AY64" s="107">
        <v>0.09</v>
      </c>
      <c r="AZ64" s="107">
        <v>0.08</v>
      </c>
      <c r="BA64" s="107">
        <v>0.08</v>
      </c>
      <c r="BB64" s="107">
        <v>0.08</v>
      </c>
      <c r="BC64" s="107">
        <v>0.08</v>
      </c>
      <c r="BD64" s="107">
        <v>0.08</v>
      </c>
      <c r="BE64" s="107">
        <v>0.08</v>
      </c>
      <c r="BF64" s="107">
        <v>0.08</v>
      </c>
      <c r="BG64" s="107">
        <v>0.08</v>
      </c>
      <c r="BH64" s="107">
        <v>0.08</v>
      </c>
      <c r="BI64" s="107">
        <v>0.08</v>
      </c>
      <c r="BJ64" s="106"/>
      <c r="BK64" s="106"/>
      <c r="BL64" s="106"/>
      <c r="BM64" s="106"/>
      <c r="BN64" s="106"/>
      <c r="BO64" s="106"/>
      <c r="BP64" s="106"/>
      <c r="BQ64" s="106"/>
      <c r="BR64" s="107">
        <v>0.57729799999999998</v>
      </c>
      <c r="BS64" s="107">
        <v>0.35175499999999998</v>
      </c>
      <c r="BT64" s="107">
        <v>0.41268700000000003</v>
      </c>
      <c r="BU64" s="107">
        <v>0.40041100000000002</v>
      </c>
      <c r="BV64" s="107">
        <v>0.57342800000000005</v>
      </c>
      <c r="BW64" s="107">
        <v>0.52522199999999997</v>
      </c>
      <c r="BX64" s="107">
        <v>0.39426</v>
      </c>
      <c r="BY64" s="107">
        <v>401758</v>
      </c>
      <c r="BZ64" s="107">
        <v>0.33975100000000003</v>
      </c>
      <c r="CA64" s="107">
        <v>0.54031899999999999</v>
      </c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</row>
    <row r="65" spans="1:92" x14ac:dyDescent="0.2">
      <c r="A65" s="105" t="s">
        <v>456</v>
      </c>
      <c r="B65" s="105" t="s">
        <v>378</v>
      </c>
      <c r="C65" s="105">
        <v>116</v>
      </c>
      <c r="D65" s="105" t="s">
        <v>182</v>
      </c>
      <c r="E65" s="105" t="s">
        <v>128</v>
      </c>
      <c r="F65" s="105" t="s">
        <v>85</v>
      </c>
      <c r="G65" s="105"/>
      <c r="H65" s="105" t="s">
        <v>448</v>
      </c>
      <c r="I65" s="105" t="s">
        <v>184</v>
      </c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7">
        <v>0.463779</v>
      </c>
      <c r="BP65" s="107">
        <v>0.205626</v>
      </c>
      <c r="BQ65" s="106"/>
      <c r="BR65" s="107">
        <v>0.49845099999999998</v>
      </c>
      <c r="BS65" s="107">
        <v>0.22071099999999999</v>
      </c>
      <c r="BT65" s="107">
        <v>0.40699999999999997</v>
      </c>
      <c r="BU65" s="107">
        <v>0.24399999999999999</v>
      </c>
      <c r="BV65" s="107">
        <v>0.82657000000000003</v>
      </c>
      <c r="BW65" s="107">
        <v>0.71848999999999996</v>
      </c>
      <c r="BX65" s="107">
        <v>0.43811600000000001</v>
      </c>
      <c r="BY65" s="107">
        <v>0</v>
      </c>
      <c r="BZ65" s="107">
        <v>0</v>
      </c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</row>
    <row r="66" spans="1:92" x14ac:dyDescent="0.2">
      <c r="A66" s="105" t="s">
        <v>457</v>
      </c>
      <c r="B66" s="105" t="s">
        <v>378</v>
      </c>
      <c r="C66" s="105">
        <v>117</v>
      </c>
      <c r="D66" s="105" t="s">
        <v>182</v>
      </c>
      <c r="E66" s="105" t="s">
        <v>122</v>
      </c>
      <c r="F66" s="105" t="s">
        <v>85</v>
      </c>
      <c r="G66" s="105"/>
      <c r="H66" s="105" t="s">
        <v>458</v>
      </c>
      <c r="I66" s="105" t="s">
        <v>185</v>
      </c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7">
        <v>0</v>
      </c>
      <c r="BS66" s="107">
        <v>0</v>
      </c>
      <c r="BT66" s="107">
        <v>0.41299999999999998</v>
      </c>
      <c r="BU66" s="107">
        <v>0.42899999999999999</v>
      </c>
      <c r="BV66" s="107">
        <v>0.42417899999999997</v>
      </c>
      <c r="BW66" s="107">
        <v>0.71483699999999994</v>
      </c>
      <c r="BX66" s="107">
        <v>0.86623399999999995</v>
      </c>
      <c r="BY66" s="107">
        <v>0.84652099999999997</v>
      </c>
      <c r="BZ66" s="107">
        <v>1.061606</v>
      </c>
      <c r="CA66" s="107">
        <v>1.02505</v>
      </c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</row>
    <row r="67" spans="1:92" x14ac:dyDescent="0.2">
      <c r="A67" s="105" t="s">
        <v>459</v>
      </c>
      <c r="B67" s="105" t="s">
        <v>378</v>
      </c>
      <c r="C67" s="105">
        <v>118</v>
      </c>
      <c r="D67" s="105" t="s">
        <v>182</v>
      </c>
      <c r="E67" s="105" t="s">
        <v>103</v>
      </c>
      <c r="F67" s="105" t="s">
        <v>85</v>
      </c>
      <c r="G67" s="105"/>
      <c r="H67" s="105"/>
      <c r="I67" s="105" t="s">
        <v>186</v>
      </c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7">
        <v>0.35</v>
      </c>
      <c r="AW67" s="107">
        <v>0.26</v>
      </c>
      <c r="AX67" s="107">
        <v>0.36</v>
      </c>
      <c r="AY67" s="107">
        <v>0.39</v>
      </c>
      <c r="AZ67" s="107">
        <v>0.2</v>
      </c>
      <c r="BA67" s="107">
        <v>0.2</v>
      </c>
      <c r="BB67" s="107">
        <v>0.2</v>
      </c>
      <c r="BC67" s="107">
        <v>0.25</v>
      </c>
      <c r="BD67" s="107">
        <v>0.25</v>
      </c>
      <c r="BE67" s="107">
        <v>0.25</v>
      </c>
      <c r="BF67" s="107">
        <v>0.25</v>
      </c>
      <c r="BG67" s="107">
        <v>0.25</v>
      </c>
      <c r="BH67" s="107">
        <v>0.25</v>
      </c>
      <c r="BI67" s="107">
        <v>0.25</v>
      </c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</row>
    <row r="68" spans="1:92" x14ac:dyDescent="0.2">
      <c r="A68" s="105" t="s">
        <v>460</v>
      </c>
      <c r="B68" s="105" t="s">
        <v>378</v>
      </c>
      <c r="C68" s="105">
        <v>141</v>
      </c>
      <c r="D68" s="105" t="s">
        <v>207</v>
      </c>
      <c r="E68" s="105" t="s">
        <v>209</v>
      </c>
      <c r="F68" s="105" t="s">
        <v>126</v>
      </c>
      <c r="G68" s="105"/>
      <c r="H68" s="105"/>
      <c r="I68" s="105" t="s">
        <v>208</v>
      </c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7">
        <v>1</v>
      </c>
      <c r="BP68" s="107">
        <v>1</v>
      </c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6"/>
      <c r="CJ68" s="106"/>
      <c r="CK68" s="106"/>
      <c r="CL68" s="106"/>
      <c r="CM68" s="106"/>
      <c r="CN68" s="106"/>
    </row>
    <row r="69" spans="1:92" x14ac:dyDescent="0.2">
      <c r="A69" s="105" t="s">
        <v>461</v>
      </c>
      <c r="B69" s="105" t="s">
        <v>378</v>
      </c>
      <c r="C69" s="105">
        <v>148</v>
      </c>
      <c r="D69" s="105" t="s">
        <v>212</v>
      </c>
      <c r="E69" s="105" t="s">
        <v>128</v>
      </c>
      <c r="F69" s="105" t="s">
        <v>126</v>
      </c>
      <c r="G69" s="105"/>
      <c r="H69" s="105"/>
      <c r="I69" s="105" t="s">
        <v>213</v>
      </c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7">
        <v>0.37</v>
      </c>
      <c r="CK69" s="106"/>
      <c r="CL69" s="106"/>
      <c r="CM69" s="106"/>
      <c r="CN69" s="106"/>
    </row>
    <row r="70" spans="1:92" x14ac:dyDescent="0.2">
      <c r="A70" s="105" t="s">
        <v>462</v>
      </c>
      <c r="B70" s="105" t="s">
        <v>378</v>
      </c>
      <c r="C70" s="105">
        <v>149</v>
      </c>
      <c r="D70" s="105" t="s">
        <v>212</v>
      </c>
      <c r="E70" s="105" t="s">
        <v>122</v>
      </c>
      <c r="F70" s="105" t="s">
        <v>126</v>
      </c>
      <c r="G70" s="105"/>
      <c r="H70" s="105"/>
      <c r="I70" s="105" t="s">
        <v>213</v>
      </c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  <c r="CH70" s="106"/>
      <c r="CI70" s="106"/>
      <c r="CJ70" s="107">
        <v>0.63</v>
      </c>
      <c r="CK70" s="106"/>
      <c r="CL70" s="106"/>
      <c r="CM70" s="106"/>
      <c r="CN70" s="106"/>
    </row>
    <row r="71" spans="1:92" x14ac:dyDescent="0.2">
      <c r="A71" s="105" t="s">
        <v>461</v>
      </c>
      <c r="B71" s="105" t="s">
        <v>378</v>
      </c>
      <c r="C71" s="105">
        <v>151</v>
      </c>
      <c r="D71" s="105" t="s">
        <v>212</v>
      </c>
      <c r="E71" s="105" t="s">
        <v>128</v>
      </c>
      <c r="F71" s="105" t="s">
        <v>85</v>
      </c>
      <c r="G71" s="105"/>
      <c r="H71" s="105" t="s">
        <v>215</v>
      </c>
      <c r="I71" s="105" t="s">
        <v>214</v>
      </c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7">
        <v>5.0999999999999996</v>
      </c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</row>
    <row r="72" spans="1:92" x14ac:dyDescent="0.2">
      <c r="A72" s="105" t="s">
        <v>462</v>
      </c>
      <c r="B72" s="105" t="s">
        <v>378</v>
      </c>
      <c r="C72" s="105">
        <v>152</v>
      </c>
      <c r="D72" s="105" t="s">
        <v>212</v>
      </c>
      <c r="E72" s="105" t="s">
        <v>122</v>
      </c>
      <c r="F72" s="105" t="s">
        <v>85</v>
      </c>
      <c r="G72" s="105"/>
      <c r="H72" s="105" t="s">
        <v>215</v>
      </c>
      <c r="I72" s="105" t="s">
        <v>216</v>
      </c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7">
        <v>8.8000000000000007</v>
      </c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7">
        <v>8.7600289999999994</v>
      </c>
      <c r="CF72" s="107">
        <v>9.0700479999999999</v>
      </c>
      <c r="CG72" s="107">
        <v>8.8566269999999996</v>
      </c>
      <c r="CH72" s="107">
        <v>9.2547999999999995</v>
      </c>
      <c r="CI72" s="107">
        <v>8.8529999999999998</v>
      </c>
      <c r="CJ72" s="106"/>
      <c r="CK72" s="107">
        <v>9.5914180000000009</v>
      </c>
      <c r="CL72" s="107">
        <v>9.0370469999999994</v>
      </c>
      <c r="CM72" s="107">
        <v>8.8630150000000008</v>
      </c>
      <c r="CN72" s="107">
        <v>8.8485469999999999</v>
      </c>
    </row>
    <row r="73" spans="1:92" x14ac:dyDescent="0.2">
      <c r="A73" s="105" t="s">
        <v>463</v>
      </c>
      <c r="B73" s="105" t="s">
        <v>378</v>
      </c>
      <c r="C73" s="105">
        <v>155</v>
      </c>
      <c r="D73" s="105" t="s">
        <v>217</v>
      </c>
      <c r="E73" s="105" t="s">
        <v>210</v>
      </c>
      <c r="F73" s="105" t="s">
        <v>126</v>
      </c>
      <c r="G73" s="105"/>
      <c r="H73" s="105"/>
      <c r="I73" s="105" t="s">
        <v>218</v>
      </c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7">
        <v>0.68</v>
      </c>
      <c r="CC73" s="106"/>
      <c r="CD73" s="106"/>
      <c r="CE73" s="106"/>
      <c r="CF73" s="106"/>
      <c r="CG73" s="106"/>
      <c r="CH73" s="106"/>
      <c r="CI73" s="106"/>
      <c r="CJ73" s="106"/>
      <c r="CK73" s="106"/>
      <c r="CL73" s="106"/>
      <c r="CM73" s="106"/>
      <c r="CN73" s="106"/>
    </row>
    <row r="74" spans="1:92" x14ac:dyDescent="0.2">
      <c r="A74" s="105" t="s">
        <v>464</v>
      </c>
      <c r="B74" s="105" t="s">
        <v>378</v>
      </c>
      <c r="C74" s="105">
        <v>156</v>
      </c>
      <c r="D74" s="105" t="s">
        <v>217</v>
      </c>
      <c r="E74" s="105" t="s">
        <v>211</v>
      </c>
      <c r="F74" s="105" t="s">
        <v>126</v>
      </c>
      <c r="G74" s="105"/>
      <c r="H74" s="105"/>
      <c r="I74" s="105" t="s">
        <v>218</v>
      </c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7">
        <v>0.32</v>
      </c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</row>
    <row r="75" spans="1:92" x14ac:dyDescent="0.2">
      <c r="A75" s="105" t="s">
        <v>465</v>
      </c>
      <c r="B75" s="105" t="s">
        <v>378</v>
      </c>
      <c r="C75" s="105">
        <v>169</v>
      </c>
      <c r="D75" s="105" t="s">
        <v>236</v>
      </c>
      <c r="E75" s="105" t="s">
        <v>237</v>
      </c>
      <c r="F75" s="105" t="s">
        <v>126</v>
      </c>
      <c r="G75" s="105"/>
      <c r="H75" s="105"/>
      <c r="I75" s="105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7">
        <v>0.2</v>
      </c>
      <c r="CC75" s="107">
        <v>0.2</v>
      </c>
      <c r="CD75" s="107">
        <v>0.2</v>
      </c>
      <c r="CE75" s="107">
        <v>0.2</v>
      </c>
      <c r="CF75" s="107">
        <v>0.2</v>
      </c>
      <c r="CG75" s="107">
        <v>0.2</v>
      </c>
      <c r="CH75" s="107">
        <v>0.2</v>
      </c>
      <c r="CI75" s="107">
        <v>0.2</v>
      </c>
      <c r="CJ75" s="107">
        <v>0.2</v>
      </c>
      <c r="CK75" s="107">
        <v>0.2</v>
      </c>
      <c r="CL75" s="107">
        <v>0.2</v>
      </c>
      <c r="CM75" s="107">
        <v>0.2</v>
      </c>
      <c r="CN75" s="107">
        <v>0.2</v>
      </c>
    </row>
    <row r="76" spans="1:92" x14ac:dyDescent="0.2">
      <c r="A76" s="105" t="s">
        <v>466</v>
      </c>
      <c r="B76" s="105" t="s">
        <v>378</v>
      </c>
      <c r="C76" s="105">
        <v>176</v>
      </c>
      <c r="D76" s="105" t="s">
        <v>236</v>
      </c>
      <c r="E76" s="105" t="s">
        <v>211</v>
      </c>
      <c r="F76" s="105" t="s">
        <v>126</v>
      </c>
      <c r="G76" s="105"/>
      <c r="H76" s="105"/>
      <c r="I76" s="105" t="s">
        <v>243</v>
      </c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7">
        <v>0.5</v>
      </c>
      <c r="CC76" s="107">
        <v>0.5</v>
      </c>
      <c r="CD76" s="107">
        <v>0.5</v>
      </c>
      <c r="CE76" s="107">
        <v>0.5</v>
      </c>
      <c r="CF76" s="107">
        <v>0.5</v>
      </c>
      <c r="CG76" s="107">
        <v>0.5</v>
      </c>
      <c r="CH76" s="107">
        <v>0.5</v>
      </c>
      <c r="CI76" s="107">
        <v>0.5</v>
      </c>
      <c r="CJ76" s="107">
        <v>1</v>
      </c>
      <c r="CK76" s="107">
        <v>1</v>
      </c>
      <c r="CL76" s="107">
        <v>1</v>
      </c>
      <c r="CM76" s="107">
        <v>1</v>
      </c>
      <c r="CN76" s="107">
        <v>1</v>
      </c>
    </row>
    <row r="77" spans="1:92" x14ac:dyDescent="0.2">
      <c r="A77" s="105" t="s">
        <v>467</v>
      </c>
      <c r="B77" s="105" t="s">
        <v>378</v>
      </c>
      <c r="C77" s="105">
        <v>185</v>
      </c>
      <c r="D77" s="105" t="s">
        <v>247</v>
      </c>
      <c r="E77" s="105" t="s">
        <v>248</v>
      </c>
      <c r="F77" s="105" t="s">
        <v>85</v>
      </c>
      <c r="G77" s="105"/>
      <c r="H77" s="105"/>
      <c r="I77" s="105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7">
        <v>200</v>
      </c>
      <c r="CH77" s="106"/>
      <c r="CI77" s="106"/>
      <c r="CJ77" s="106"/>
      <c r="CK77" s="106"/>
      <c r="CL77" s="106"/>
      <c r="CM77" s="106"/>
      <c r="CN77" s="106"/>
    </row>
    <row r="78" spans="1:92" x14ac:dyDescent="0.2">
      <c r="A78" s="105" t="s">
        <v>468</v>
      </c>
      <c r="B78" s="105" t="s">
        <v>378</v>
      </c>
      <c r="C78" s="105">
        <v>192</v>
      </c>
      <c r="D78" s="105" t="s">
        <v>253</v>
      </c>
      <c r="E78" s="105" t="s">
        <v>93</v>
      </c>
      <c r="F78" s="105" t="s">
        <v>255</v>
      </c>
      <c r="G78" s="105"/>
      <c r="H78" s="105"/>
      <c r="I78" s="105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7">
        <v>2113068</v>
      </c>
      <c r="BT78" s="107">
        <v>2148974</v>
      </c>
      <c r="BU78" s="107">
        <v>2795332</v>
      </c>
      <c r="BV78" s="107">
        <v>3149800</v>
      </c>
      <c r="BW78" s="107">
        <v>3245172</v>
      </c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</row>
    <row r="79" spans="1:92" x14ac:dyDescent="0.2">
      <c r="A79" s="105" t="s">
        <v>469</v>
      </c>
      <c r="B79" s="105" t="s">
        <v>378</v>
      </c>
      <c r="C79" s="105">
        <v>193</v>
      </c>
      <c r="D79" s="105" t="s">
        <v>253</v>
      </c>
      <c r="E79" s="105" t="s">
        <v>98</v>
      </c>
      <c r="F79" s="105" t="s">
        <v>255</v>
      </c>
      <c r="G79" s="105"/>
      <c r="H79" s="105" t="s">
        <v>470</v>
      </c>
      <c r="I79" s="105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7">
        <v>422986</v>
      </c>
      <c r="BT79" s="107">
        <v>358677</v>
      </c>
      <c r="BU79" s="107">
        <v>445646</v>
      </c>
      <c r="BV79" s="107">
        <v>570556</v>
      </c>
      <c r="BW79" s="107">
        <v>435649</v>
      </c>
      <c r="BX79" s="107">
        <v>432807</v>
      </c>
      <c r="BY79" s="107">
        <v>466404</v>
      </c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</row>
    <row r="80" spans="1:92" x14ac:dyDescent="0.2">
      <c r="A80" s="105" t="s">
        <v>471</v>
      </c>
      <c r="B80" s="105" t="s">
        <v>378</v>
      </c>
      <c r="C80" s="105">
        <v>194</v>
      </c>
      <c r="D80" s="105" t="s">
        <v>253</v>
      </c>
      <c r="E80" s="105" t="s">
        <v>105</v>
      </c>
      <c r="F80" s="105" t="s">
        <v>255</v>
      </c>
      <c r="G80" s="105"/>
      <c r="H80" s="105" t="s">
        <v>470</v>
      </c>
      <c r="I80" s="105" t="s">
        <v>266</v>
      </c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7">
        <v>439896</v>
      </c>
      <c r="BX80" s="107">
        <v>775806</v>
      </c>
      <c r="BY80" s="107">
        <v>972605</v>
      </c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6"/>
      <c r="CL80" s="106"/>
      <c r="CM80" s="106"/>
      <c r="CN80" s="106"/>
    </row>
    <row r="81" spans="1:92" x14ac:dyDescent="0.2">
      <c r="A81" s="105" t="s">
        <v>472</v>
      </c>
      <c r="B81" s="105" t="s">
        <v>378</v>
      </c>
      <c r="C81" s="105">
        <v>195</v>
      </c>
      <c r="D81" s="105" t="s">
        <v>253</v>
      </c>
      <c r="E81" s="105" t="s">
        <v>104</v>
      </c>
      <c r="F81" s="105" t="s">
        <v>255</v>
      </c>
      <c r="G81" s="105"/>
      <c r="H81" s="105" t="s">
        <v>470</v>
      </c>
      <c r="I81" s="105" t="s">
        <v>266</v>
      </c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7">
        <v>2529216</v>
      </c>
      <c r="BX81" s="107">
        <v>2006377</v>
      </c>
      <c r="BY81" s="107">
        <v>2272445</v>
      </c>
      <c r="BZ81" s="106"/>
      <c r="CA81" s="106"/>
      <c r="CB81" s="106"/>
      <c r="CC81" s="106"/>
      <c r="CD81" s="106"/>
      <c r="CE81" s="106"/>
      <c r="CF81" s="106"/>
      <c r="CG81" s="106"/>
      <c r="CH81" s="106"/>
      <c r="CI81" s="106"/>
      <c r="CJ81" s="106"/>
      <c r="CK81" s="106"/>
      <c r="CL81" s="106"/>
      <c r="CM81" s="106"/>
      <c r="CN81" s="106"/>
    </row>
    <row r="82" spans="1:92" x14ac:dyDescent="0.2">
      <c r="A82" s="105" t="s">
        <v>473</v>
      </c>
      <c r="B82" s="105" t="s">
        <v>378</v>
      </c>
      <c r="C82" s="105">
        <v>196</v>
      </c>
      <c r="D82" s="105" t="s">
        <v>253</v>
      </c>
      <c r="E82" s="105" t="s">
        <v>268</v>
      </c>
      <c r="F82" s="105" t="s">
        <v>255</v>
      </c>
      <c r="G82" s="105"/>
      <c r="H82" s="105" t="s">
        <v>470</v>
      </c>
      <c r="I82" s="105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7">
        <v>242448</v>
      </c>
      <c r="BT82" s="107">
        <v>255299</v>
      </c>
      <c r="BU82" s="107">
        <v>250023</v>
      </c>
      <c r="BV82" s="107">
        <v>246250</v>
      </c>
      <c r="BW82" s="107">
        <v>253099</v>
      </c>
      <c r="BX82" s="107">
        <v>241538</v>
      </c>
      <c r="BY82" s="107">
        <v>258143</v>
      </c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</row>
    <row r="83" spans="1:92" x14ac:dyDescent="0.2">
      <c r="A83" s="105" t="s">
        <v>474</v>
      </c>
      <c r="B83" s="105" t="s">
        <v>378</v>
      </c>
      <c r="C83" s="105">
        <v>197</v>
      </c>
      <c r="D83" s="105" t="s">
        <v>253</v>
      </c>
      <c r="E83" s="105" t="s">
        <v>122</v>
      </c>
      <c r="F83" s="105" t="s">
        <v>255</v>
      </c>
      <c r="G83" s="105"/>
      <c r="H83" s="105" t="s">
        <v>470</v>
      </c>
      <c r="I83" s="105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7">
        <v>210118</v>
      </c>
      <c r="BT83" s="107">
        <v>278642</v>
      </c>
      <c r="BU83" s="107">
        <v>247922</v>
      </c>
      <c r="BV83" s="107">
        <v>300794</v>
      </c>
      <c r="BW83" s="107">
        <v>393671</v>
      </c>
      <c r="BX83" s="107">
        <v>369934</v>
      </c>
      <c r="BY83" s="107">
        <v>312954</v>
      </c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</row>
    <row r="84" spans="1:92" x14ac:dyDescent="0.2">
      <c r="A84" s="105" t="s">
        <v>475</v>
      </c>
      <c r="B84" s="105" t="s">
        <v>378</v>
      </c>
      <c r="C84" s="105">
        <v>209</v>
      </c>
      <c r="D84" s="105" t="s">
        <v>273</v>
      </c>
      <c r="E84" s="105" t="s">
        <v>274</v>
      </c>
      <c r="F84" s="105" t="s">
        <v>275</v>
      </c>
      <c r="G84" s="105"/>
      <c r="H84" s="105"/>
      <c r="I84" s="105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7">
        <v>94</v>
      </c>
      <c r="CF84" s="107">
        <v>119</v>
      </c>
      <c r="CG84" s="107">
        <v>187</v>
      </c>
      <c r="CH84" s="107">
        <v>194</v>
      </c>
      <c r="CI84" s="107">
        <v>171</v>
      </c>
      <c r="CJ84" s="107">
        <v>112</v>
      </c>
      <c r="CK84" s="107">
        <v>211</v>
      </c>
      <c r="CL84" s="107">
        <v>310</v>
      </c>
      <c r="CM84" s="106"/>
      <c r="CN84" s="106"/>
    </row>
    <row r="85" spans="1:92" x14ac:dyDescent="0.2">
      <c r="A85" s="105" t="s">
        <v>476</v>
      </c>
      <c r="B85" s="105" t="s">
        <v>378</v>
      </c>
      <c r="C85" s="105">
        <v>210</v>
      </c>
      <c r="D85" s="105" t="s">
        <v>273</v>
      </c>
      <c r="E85" s="105" t="s">
        <v>211</v>
      </c>
      <c r="F85" s="105" t="s">
        <v>275</v>
      </c>
      <c r="G85" s="105"/>
      <c r="H85" s="105"/>
      <c r="I85" s="105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7">
        <v>77</v>
      </c>
      <c r="CF85" s="107">
        <v>77</v>
      </c>
      <c r="CG85" s="107">
        <v>125</v>
      </c>
      <c r="CH85" s="107">
        <v>128</v>
      </c>
      <c r="CI85" s="107">
        <v>110</v>
      </c>
      <c r="CJ85" s="107">
        <v>84</v>
      </c>
      <c r="CK85" s="107">
        <v>138</v>
      </c>
      <c r="CL85" s="107">
        <v>271</v>
      </c>
      <c r="CM85" s="106"/>
      <c r="CN85" s="106"/>
    </row>
    <row r="86" spans="1:92" x14ac:dyDescent="0.2">
      <c r="A86" s="105" t="s">
        <v>477</v>
      </c>
      <c r="B86" s="105" t="s">
        <v>378</v>
      </c>
      <c r="C86" s="105">
        <v>212</v>
      </c>
      <c r="D86" s="105" t="s">
        <v>280</v>
      </c>
      <c r="E86" s="105" t="s">
        <v>274</v>
      </c>
      <c r="F86" s="105" t="s">
        <v>275</v>
      </c>
      <c r="G86" s="105"/>
      <c r="H86" s="105"/>
      <c r="I86" s="105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7">
        <v>91.705960000000005</v>
      </c>
      <c r="CF86" s="107">
        <v>141.0873</v>
      </c>
      <c r="CG86" s="107">
        <v>188.57060000000001</v>
      </c>
      <c r="CH86" s="107">
        <v>207.09639999999999</v>
      </c>
      <c r="CI86" s="107">
        <v>171.95</v>
      </c>
      <c r="CJ86" s="107">
        <v>125.4196</v>
      </c>
      <c r="CK86" s="107">
        <v>224.26840000000001</v>
      </c>
      <c r="CL86" s="107">
        <v>371.05079999999998</v>
      </c>
      <c r="CM86" s="106"/>
      <c r="CN86" s="106"/>
    </row>
    <row r="87" spans="1:92" x14ac:dyDescent="0.2">
      <c r="A87" s="105" t="s">
        <v>478</v>
      </c>
      <c r="B87" s="105" t="s">
        <v>378</v>
      </c>
      <c r="C87" s="105">
        <v>213</v>
      </c>
      <c r="D87" s="105" t="s">
        <v>280</v>
      </c>
      <c r="E87" s="105" t="s">
        <v>211</v>
      </c>
      <c r="F87" s="105" t="s">
        <v>275</v>
      </c>
      <c r="G87" s="105"/>
      <c r="H87" s="105"/>
      <c r="I87" s="105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7">
        <v>81.157250000000005</v>
      </c>
      <c r="CF87" s="107">
        <v>90.96481</v>
      </c>
      <c r="CG87" s="107">
        <v>135.9076</v>
      </c>
      <c r="CH87" s="107">
        <v>146.98599999999999</v>
      </c>
      <c r="CI87" s="107">
        <v>123.148</v>
      </c>
      <c r="CJ87" s="107">
        <v>91.994</v>
      </c>
      <c r="CK87" s="107">
        <v>154.58000000000001</v>
      </c>
      <c r="CL87" s="107">
        <v>294.96499999999997</v>
      </c>
      <c r="CM87" s="106"/>
      <c r="CN87" s="106"/>
    </row>
    <row r="88" spans="1:92" x14ac:dyDescent="0.2">
      <c r="A88" s="105" t="s">
        <v>479</v>
      </c>
      <c r="B88" s="105" t="s">
        <v>378</v>
      </c>
      <c r="C88" s="105">
        <v>218</v>
      </c>
      <c r="D88" s="105" t="s">
        <v>282</v>
      </c>
      <c r="E88" s="105" t="s">
        <v>210</v>
      </c>
      <c r="F88" s="105" t="s">
        <v>85</v>
      </c>
      <c r="G88" s="105"/>
      <c r="H88" s="105" t="s">
        <v>480</v>
      </c>
      <c r="I88" s="105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7">
        <v>5.7482420000000003</v>
      </c>
      <c r="BO88" s="107">
        <v>5.3680409999999998</v>
      </c>
      <c r="BP88" s="107">
        <v>5.0825370000000003</v>
      </c>
      <c r="BQ88" s="107">
        <v>4.8900090000000001</v>
      </c>
      <c r="BR88" s="107">
        <v>3.8111090000000001</v>
      </c>
      <c r="BS88" s="107">
        <v>2.7645179999999998</v>
      </c>
      <c r="BT88" s="107">
        <v>2.7149930000000002</v>
      </c>
      <c r="BU88" s="107">
        <v>3.1103679999999998</v>
      </c>
      <c r="BV88" s="107">
        <v>3.584946</v>
      </c>
      <c r="BW88" s="107">
        <v>2.9779360000000001</v>
      </c>
      <c r="BX88" s="107">
        <v>2.110922</v>
      </c>
      <c r="BY88" s="107">
        <v>0.84017699999999995</v>
      </c>
      <c r="BZ88" s="107">
        <v>0.96540700000000002</v>
      </c>
      <c r="CA88" s="107">
        <v>1.531223</v>
      </c>
      <c r="CB88" s="106"/>
      <c r="CC88" s="106"/>
      <c r="CD88" s="106"/>
      <c r="CE88" s="106"/>
      <c r="CF88" s="106"/>
      <c r="CG88" s="106"/>
      <c r="CH88" s="106"/>
      <c r="CI88" s="106"/>
      <c r="CJ88" s="106"/>
      <c r="CK88" s="106"/>
      <c r="CL88" s="106"/>
      <c r="CM88" s="106"/>
      <c r="CN88" s="106"/>
    </row>
    <row r="89" spans="1:92" x14ac:dyDescent="0.2">
      <c r="A89" s="105" t="s">
        <v>481</v>
      </c>
      <c r="B89" s="105" t="s">
        <v>378</v>
      </c>
      <c r="C89" s="105">
        <v>219</v>
      </c>
      <c r="D89" s="105" t="s">
        <v>282</v>
      </c>
      <c r="E89" s="105" t="s">
        <v>220</v>
      </c>
      <c r="F89" s="105" t="s">
        <v>85</v>
      </c>
      <c r="G89" s="105"/>
      <c r="H89" s="105" t="s">
        <v>480</v>
      </c>
      <c r="I89" s="105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7">
        <v>7.5178999999999996E-2</v>
      </c>
      <c r="BO89" s="106"/>
      <c r="BP89" s="106"/>
      <c r="BQ89" s="107">
        <v>0.17553299999999999</v>
      </c>
      <c r="BR89" s="107">
        <v>0.57729799999999998</v>
      </c>
      <c r="BS89" s="107">
        <v>0.35175499999999998</v>
      </c>
      <c r="BT89" s="107">
        <v>0.40041100000000002</v>
      </c>
      <c r="BU89" s="107">
        <v>0.40041100000000002</v>
      </c>
      <c r="BV89" s="107">
        <v>0.57342800000000005</v>
      </c>
      <c r="BW89" s="107">
        <v>0.66184699999999996</v>
      </c>
      <c r="BX89" s="107">
        <v>0.39426</v>
      </c>
      <c r="BY89" s="107">
        <v>0.401758</v>
      </c>
      <c r="BZ89" s="107">
        <v>0.33975100000000003</v>
      </c>
      <c r="CA89" s="107">
        <v>0.54031899999999999</v>
      </c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</row>
    <row r="90" spans="1:92" x14ac:dyDescent="0.2">
      <c r="A90" s="105" t="s">
        <v>482</v>
      </c>
      <c r="B90" s="105" t="s">
        <v>378</v>
      </c>
      <c r="C90" s="105">
        <v>220</v>
      </c>
      <c r="D90" s="105" t="s">
        <v>282</v>
      </c>
      <c r="E90" s="105" t="s">
        <v>211</v>
      </c>
      <c r="F90" s="105" t="s">
        <v>85</v>
      </c>
      <c r="G90" s="105"/>
      <c r="H90" s="105" t="s">
        <v>480</v>
      </c>
      <c r="I90" s="105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7">
        <v>0.12939700000000001</v>
      </c>
      <c r="BY90" s="107">
        <v>2.0451589999999999</v>
      </c>
      <c r="BZ90" s="107">
        <v>1.7296670000000001</v>
      </c>
      <c r="CA90" s="107">
        <v>1.6742680000000001</v>
      </c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</row>
    <row r="91" spans="1:92" x14ac:dyDescent="0.2">
      <c r="A91" s="105" t="s">
        <v>483</v>
      </c>
      <c r="B91" s="105" t="s">
        <v>484</v>
      </c>
      <c r="C91" s="105">
        <v>12</v>
      </c>
      <c r="D91" s="105" t="s">
        <v>485</v>
      </c>
      <c r="E91" s="105" t="s">
        <v>98</v>
      </c>
      <c r="F91" s="105" t="s">
        <v>486</v>
      </c>
      <c r="G91" s="106"/>
      <c r="H91" s="106"/>
      <c r="I91" s="106"/>
      <c r="J91" s="107">
        <v>1927</v>
      </c>
      <c r="K91" s="107">
        <v>1618</v>
      </c>
      <c r="L91" s="107">
        <v>1632</v>
      </c>
      <c r="M91" s="107">
        <v>1563</v>
      </c>
      <c r="N91" s="107">
        <v>1522</v>
      </c>
      <c r="O91" s="107">
        <v>1577</v>
      </c>
      <c r="P91" s="107">
        <v>1768</v>
      </c>
      <c r="Q91" s="107">
        <v>1481</v>
      </c>
      <c r="R91" s="107">
        <v>1384</v>
      </c>
      <c r="S91" s="107">
        <v>1243</v>
      </c>
      <c r="T91" s="107">
        <v>1241</v>
      </c>
      <c r="U91" s="107">
        <v>1255</v>
      </c>
      <c r="V91" s="107">
        <v>1342</v>
      </c>
      <c r="W91" s="107">
        <v>1276</v>
      </c>
      <c r="X91" s="107">
        <v>1354</v>
      </c>
      <c r="Y91" s="107">
        <v>1248</v>
      </c>
      <c r="Z91" s="107">
        <v>1220</v>
      </c>
      <c r="AA91" s="107">
        <v>1219</v>
      </c>
      <c r="AB91" s="107">
        <v>1211</v>
      </c>
      <c r="AC91" s="107">
        <v>1234</v>
      </c>
      <c r="AD91" s="107">
        <v>1221</v>
      </c>
      <c r="AE91" s="107">
        <v>1206</v>
      </c>
      <c r="AF91" s="107">
        <v>1271</v>
      </c>
      <c r="AG91" s="107">
        <v>1314</v>
      </c>
      <c r="AH91" s="107">
        <v>1334</v>
      </c>
      <c r="AI91" s="107">
        <v>1404</v>
      </c>
      <c r="AJ91" s="107">
        <v>1444</v>
      </c>
      <c r="AK91" s="107">
        <v>1483</v>
      </c>
      <c r="AL91" s="107">
        <v>1457</v>
      </c>
      <c r="AM91" s="107">
        <v>1536</v>
      </c>
      <c r="AN91" s="107">
        <v>1499</v>
      </c>
      <c r="AO91" s="107">
        <v>1609</v>
      </c>
      <c r="AP91" s="107">
        <v>1687</v>
      </c>
      <c r="AQ91" s="107">
        <v>1676</v>
      </c>
      <c r="AR91" s="107">
        <v>1353</v>
      </c>
      <c r="AS91" s="107">
        <v>1243</v>
      </c>
      <c r="AT91" s="107">
        <v>1421</v>
      </c>
      <c r="AU91" s="107">
        <v>1426</v>
      </c>
      <c r="AV91" s="107">
        <v>1379</v>
      </c>
      <c r="AW91" s="107">
        <v>1458</v>
      </c>
      <c r="AX91" s="107">
        <v>1359</v>
      </c>
      <c r="AY91" s="107">
        <v>1471</v>
      </c>
      <c r="AZ91" s="107">
        <v>1403</v>
      </c>
      <c r="BA91" s="107">
        <v>1461</v>
      </c>
      <c r="BB91" s="107">
        <v>1454</v>
      </c>
      <c r="BC91" s="107">
        <v>1477</v>
      </c>
      <c r="BD91" s="107">
        <v>1516</v>
      </c>
      <c r="BE91" s="107">
        <v>1428</v>
      </c>
      <c r="BF91" s="107">
        <v>1517</v>
      </c>
      <c r="BG91" s="107">
        <v>1556</v>
      </c>
      <c r="BH91" s="107">
        <v>1587</v>
      </c>
      <c r="BI91" s="107">
        <v>1603</v>
      </c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</row>
    <row r="92" spans="1:92" x14ac:dyDescent="0.2">
      <c r="A92" s="105" t="s">
        <v>487</v>
      </c>
      <c r="B92" s="105" t="s">
        <v>484</v>
      </c>
      <c r="C92" s="105">
        <v>13</v>
      </c>
      <c r="D92" s="105" t="s">
        <v>485</v>
      </c>
      <c r="E92" s="105" t="s">
        <v>128</v>
      </c>
      <c r="F92" s="105" t="s">
        <v>486</v>
      </c>
      <c r="G92" s="106"/>
      <c r="H92" s="106"/>
      <c r="I92" s="106"/>
      <c r="J92" s="107">
        <v>428</v>
      </c>
      <c r="K92" s="107">
        <v>484</v>
      </c>
      <c r="L92" s="107">
        <v>494</v>
      </c>
      <c r="M92" s="107">
        <v>488</v>
      </c>
      <c r="N92" s="107">
        <v>488</v>
      </c>
      <c r="O92" s="107">
        <v>501</v>
      </c>
      <c r="P92" s="107">
        <v>502</v>
      </c>
      <c r="Q92" s="107">
        <v>496</v>
      </c>
      <c r="R92" s="107">
        <v>486</v>
      </c>
      <c r="S92" s="107">
        <v>444</v>
      </c>
      <c r="T92" s="107">
        <v>432</v>
      </c>
      <c r="U92" s="107">
        <v>391</v>
      </c>
      <c r="V92" s="107">
        <v>236</v>
      </c>
      <c r="W92" s="107">
        <v>226</v>
      </c>
      <c r="X92" s="107">
        <v>231</v>
      </c>
      <c r="Y92" s="107">
        <v>227</v>
      </c>
      <c r="Z92" s="107">
        <v>227</v>
      </c>
      <c r="AA92" s="107">
        <v>231</v>
      </c>
      <c r="AB92" s="107">
        <v>233</v>
      </c>
      <c r="AC92" s="107">
        <v>262</v>
      </c>
      <c r="AD92" s="107">
        <v>249</v>
      </c>
      <c r="AE92" s="107">
        <v>262</v>
      </c>
      <c r="AF92" s="107">
        <v>265</v>
      </c>
      <c r="AG92" s="107">
        <v>273</v>
      </c>
      <c r="AH92" s="107">
        <v>275</v>
      </c>
      <c r="AI92" s="107">
        <v>287</v>
      </c>
      <c r="AJ92" s="107">
        <v>297</v>
      </c>
      <c r="AK92" s="107">
        <v>293</v>
      </c>
      <c r="AL92" s="107">
        <v>299</v>
      </c>
      <c r="AM92" s="107">
        <v>308</v>
      </c>
      <c r="AN92" s="107">
        <v>325</v>
      </c>
      <c r="AO92" s="107">
        <v>332</v>
      </c>
      <c r="AP92" s="107">
        <v>347</v>
      </c>
      <c r="AQ92" s="107">
        <v>346</v>
      </c>
      <c r="AR92" s="107">
        <v>371</v>
      </c>
      <c r="AS92" s="107">
        <v>399</v>
      </c>
      <c r="AT92" s="107">
        <v>397</v>
      </c>
      <c r="AU92" s="107">
        <v>417</v>
      </c>
      <c r="AV92" s="107">
        <v>457</v>
      </c>
      <c r="AW92" s="107">
        <v>438</v>
      </c>
      <c r="AX92" s="107">
        <v>470</v>
      </c>
      <c r="AY92" s="107">
        <v>505</v>
      </c>
      <c r="AZ92" s="107">
        <v>503</v>
      </c>
      <c r="BA92" s="107">
        <v>497</v>
      </c>
      <c r="BB92" s="107">
        <v>575</v>
      </c>
      <c r="BC92" s="107">
        <v>654</v>
      </c>
      <c r="BD92" s="107">
        <v>757</v>
      </c>
      <c r="BE92" s="107">
        <v>803</v>
      </c>
      <c r="BF92" s="107">
        <v>776</v>
      </c>
      <c r="BG92" s="107">
        <v>864</v>
      </c>
      <c r="BH92" s="107">
        <v>909</v>
      </c>
      <c r="BI92" s="107">
        <v>880</v>
      </c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6"/>
      <c r="CL92" s="106"/>
      <c r="CM92" s="106"/>
      <c r="CN92" s="106"/>
    </row>
    <row r="93" spans="1:92" x14ac:dyDescent="0.2">
      <c r="A93" s="105" t="s">
        <v>488</v>
      </c>
      <c r="B93" s="105" t="s">
        <v>484</v>
      </c>
      <c r="C93" s="105">
        <v>14</v>
      </c>
      <c r="D93" s="105" t="s">
        <v>485</v>
      </c>
      <c r="E93" s="105" t="s">
        <v>489</v>
      </c>
      <c r="F93" s="105" t="s">
        <v>486</v>
      </c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7">
        <v>179</v>
      </c>
      <c r="W93" s="107">
        <v>201</v>
      </c>
      <c r="X93" s="107">
        <v>190</v>
      </c>
      <c r="Y93" s="107">
        <v>191</v>
      </c>
      <c r="Z93" s="107">
        <v>182</v>
      </c>
      <c r="AA93" s="107">
        <v>201</v>
      </c>
      <c r="AB93" s="107">
        <v>196</v>
      </c>
      <c r="AC93" s="107">
        <v>190</v>
      </c>
      <c r="AD93" s="107">
        <v>201</v>
      </c>
      <c r="AE93" s="107">
        <v>190</v>
      </c>
      <c r="AF93" s="107">
        <v>215</v>
      </c>
      <c r="AG93" s="107">
        <v>237</v>
      </c>
      <c r="AH93" s="107">
        <v>207</v>
      </c>
      <c r="AI93" s="107">
        <v>212</v>
      </c>
      <c r="AJ93" s="107">
        <v>202</v>
      </c>
      <c r="AK93" s="107">
        <v>199</v>
      </c>
      <c r="AL93" s="107">
        <v>200</v>
      </c>
      <c r="AM93" s="107">
        <v>209</v>
      </c>
      <c r="AN93" s="107">
        <v>226</v>
      </c>
      <c r="AO93" s="107">
        <v>214</v>
      </c>
      <c r="AP93" s="107">
        <v>204</v>
      </c>
      <c r="AQ93" s="107">
        <v>182</v>
      </c>
      <c r="AR93" s="107">
        <v>166</v>
      </c>
      <c r="AS93" s="107">
        <v>101</v>
      </c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6"/>
      <c r="CL93" s="106"/>
      <c r="CM93" s="106"/>
      <c r="CN93" s="106"/>
    </row>
    <row r="94" spans="1:92" x14ac:dyDescent="0.2">
      <c r="A94" s="105" t="s">
        <v>490</v>
      </c>
      <c r="B94" s="105" t="s">
        <v>484</v>
      </c>
      <c r="C94" s="105">
        <v>15</v>
      </c>
      <c r="D94" s="105" t="s">
        <v>485</v>
      </c>
      <c r="E94" s="105" t="s">
        <v>122</v>
      </c>
      <c r="F94" s="105" t="s">
        <v>486</v>
      </c>
      <c r="G94" s="106"/>
      <c r="H94" s="106"/>
      <c r="I94" s="106"/>
      <c r="J94" s="107">
        <v>400</v>
      </c>
      <c r="K94" s="107">
        <v>496</v>
      </c>
      <c r="L94" s="107">
        <v>520</v>
      </c>
      <c r="M94" s="107">
        <v>486</v>
      </c>
      <c r="N94" s="107">
        <v>466</v>
      </c>
      <c r="O94" s="107">
        <v>664</v>
      </c>
      <c r="P94" s="107">
        <v>837</v>
      </c>
      <c r="Q94" s="107">
        <v>792</v>
      </c>
      <c r="R94" s="107">
        <v>738</v>
      </c>
      <c r="S94" s="107">
        <v>769</v>
      </c>
      <c r="T94" s="107">
        <v>763</v>
      </c>
      <c r="U94" s="107">
        <v>687</v>
      </c>
      <c r="V94" s="107">
        <v>765</v>
      </c>
      <c r="W94" s="107">
        <v>633</v>
      </c>
      <c r="X94" s="107">
        <v>745</v>
      </c>
      <c r="Y94" s="107">
        <v>741</v>
      </c>
      <c r="Z94" s="107">
        <v>643</v>
      </c>
      <c r="AA94" s="107">
        <v>678</v>
      </c>
      <c r="AB94" s="107">
        <v>765</v>
      </c>
      <c r="AC94" s="107">
        <v>674</v>
      </c>
      <c r="AD94" s="107">
        <v>686</v>
      </c>
      <c r="AE94" s="107">
        <v>709</v>
      </c>
      <c r="AF94" s="107">
        <v>828</v>
      </c>
      <c r="AG94" s="107">
        <v>714</v>
      </c>
      <c r="AH94" s="107">
        <v>734</v>
      </c>
      <c r="AI94" s="107">
        <v>775</v>
      </c>
      <c r="AJ94" s="107">
        <v>792</v>
      </c>
      <c r="AK94" s="107">
        <v>815</v>
      </c>
      <c r="AL94" s="107">
        <v>811</v>
      </c>
      <c r="AM94" s="107">
        <v>737</v>
      </c>
      <c r="AN94" s="107">
        <v>971</v>
      </c>
      <c r="AO94" s="107">
        <v>841</v>
      </c>
      <c r="AP94" s="107">
        <v>995</v>
      </c>
      <c r="AQ94" s="107">
        <v>872</v>
      </c>
      <c r="AR94" s="107">
        <v>935</v>
      </c>
      <c r="AS94" s="107">
        <v>850</v>
      </c>
      <c r="AT94" s="107">
        <v>995</v>
      </c>
      <c r="AU94" s="107">
        <v>852</v>
      </c>
      <c r="AV94" s="107">
        <v>838</v>
      </c>
      <c r="AW94" s="107">
        <v>777</v>
      </c>
      <c r="AX94" s="107">
        <v>683</v>
      </c>
      <c r="AY94" s="107">
        <v>742</v>
      </c>
      <c r="AZ94" s="107">
        <v>806</v>
      </c>
      <c r="BA94" s="107">
        <v>878</v>
      </c>
      <c r="BB94" s="107">
        <v>712</v>
      </c>
      <c r="BC94" s="107">
        <v>771</v>
      </c>
      <c r="BD94" s="107">
        <v>810</v>
      </c>
      <c r="BE94" s="107">
        <v>885</v>
      </c>
      <c r="BF94" s="107">
        <v>884</v>
      </c>
      <c r="BG94" s="107">
        <v>784</v>
      </c>
      <c r="BH94" s="107">
        <v>949</v>
      </c>
      <c r="BI94" s="107">
        <v>945</v>
      </c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6"/>
      <c r="CJ94" s="106"/>
      <c r="CK94" s="106"/>
      <c r="CL94" s="106"/>
      <c r="CM94" s="106"/>
      <c r="CN94" s="106"/>
    </row>
    <row r="95" spans="1:92" x14ac:dyDescent="0.2">
      <c r="A95" s="105" t="s">
        <v>491</v>
      </c>
      <c r="B95" s="105" t="s">
        <v>484</v>
      </c>
      <c r="C95" s="105">
        <v>16</v>
      </c>
      <c r="D95" s="105" t="s">
        <v>485</v>
      </c>
      <c r="E95" s="105" t="s">
        <v>132</v>
      </c>
      <c r="F95" s="105" t="s">
        <v>486</v>
      </c>
      <c r="G95" s="106"/>
      <c r="H95" s="106"/>
      <c r="I95" s="106"/>
      <c r="J95" s="107">
        <v>757</v>
      </c>
      <c r="K95" s="107">
        <v>803</v>
      </c>
      <c r="L95" s="107">
        <v>827</v>
      </c>
      <c r="M95" s="107">
        <v>627</v>
      </c>
      <c r="N95" s="107">
        <v>525</v>
      </c>
      <c r="O95" s="107">
        <v>577</v>
      </c>
      <c r="P95" s="107">
        <v>638</v>
      </c>
      <c r="Q95" s="107">
        <v>613</v>
      </c>
      <c r="R95" s="107">
        <v>670</v>
      </c>
      <c r="S95" s="107">
        <v>668</v>
      </c>
      <c r="T95" s="107">
        <v>748</v>
      </c>
      <c r="U95" s="107">
        <v>607</v>
      </c>
      <c r="V95" s="107">
        <v>704</v>
      </c>
      <c r="W95" s="107">
        <v>798</v>
      </c>
      <c r="X95" s="107">
        <v>797</v>
      </c>
      <c r="Y95" s="107">
        <v>776</v>
      </c>
      <c r="Z95" s="107">
        <v>735</v>
      </c>
      <c r="AA95" s="107">
        <v>752</v>
      </c>
      <c r="AB95" s="107">
        <v>766</v>
      </c>
      <c r="AC95" s="107">
        <v>767</v>
      </c>
      <c r="AD95" s="107">
        <v>658</v>
      </c>
      <c r="AE95" s="107">
        <v>770</v>
      </c>
      <c r="AF95" s="107">
        <v>737</v>
      </c>
      <c r="AG95" s="107">
        <v>746</v>
      </c>
      <c r="AH95" s="107">
        <v>833</v>
      </c>
      <c r="AI95" s="107">
        <v>753</v>
      </c>
      <c r="AJ95" s="107">
        <v>747</v>
      </c>
      <c r="AK95" s="107">
        <v>838</v>
      </c>
      <c r="AL95" s="107">
        <v>887</v>
      </c>
      <c r="AM95" s="107">
        <v>875</v>
      </c>
      <c r="AN95" s="107">
        <v>911</v>
      </c>
      <c r="AO95" s="107">
        <v>911</v>
      </c>
      <c r="AP95" s="107">
        <v>816</v>
      </c>
      <c r="AQ95" s="107">
        <v>905</v>
      </c>
      <c r="AR95" s="107">
        <v>786</v>
      </c>
      <c r="AS95" s="107">
        <v>729</v>
      </c>
      <c r="AT95" s="107">
        <v>684</v>
      </c>
      <c r="AU95" s="107">
        <v>545</v>
      </c>
      <c r="AV95" s="107">
        <v>387</v>
      </c>
      <c r="AW95" s="107">
        <v>271</v>
      </c>
      <c r="AX95" s="107">
        <v>187</v>
      </c>
      <c r="AY95" s="107">
        <v>95</v>
      </c>
      <c r="AZ95" s="107">
        <v>101</v>
      </c>
      <c r="BA95" s="107">
        <v>99</v>
      </c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6"/>
      <c r="CJ95" s="106"/>
      <c r="CK95" s="106"/>
      <c r="CL95" s="106"/>
      <c r="CM95" s="106"/>
      <c r="CN95" s="106"/>
    </row>
    <row r="96" spans="1:92" x14ac:dyDescent="0.2">
      <c r="A96" s="105" t="s">
        <v>492</v>
      </c>
      <c r="B96" s="105" t="s">
        <v>484</v>
      </c>
      <c r="C96" s="105">
        <v>17</v>
      </c>
      <c r="D96" s="105" t="s">
        <v>485</v>
      </c>
      <c r="E96" s="105" t="s">
        <v>105</v>
      </c>
      <c r="F96" s="105" t="s">
        <v>486</v>
      </c>
      <c r="G96" s="106"/>
      <c r="H96" s="106"/>
      <c r="I96" s="106"/>
      <c r="J96" s="106"/>
      <c r="K96" s="106"/>
      <c r="L96" s="107">
        <v>141</v>
      </c>
      <c r="M96" s="107">
        <v>293</v>
      </c>
      <c r="N96" s="107">
        <v>568</v>
      </c>
      <c r="O96" s="106"/>
      <c r="P96" s="107">
        <v>714</v>
      </c>
      <c r="Q96" s="107">
        <v>853</v>
      </c>
      <c r="R96" s="107">
        <v>659</v>
      </c>
      <c r="S96" s="107">
        <v>651</v>
      </c>
      <c r="T96" s="107">
        <v>725</v>
      </c>
      <c r="U96" s="107">
        <v>988</v>
      </c>
      <c r="V96" s="107">
        <v>1016</v>
      </c>
      <c r="W96" s="107">
        <v>1016</v>
      </c>
      <c r="X96" s="107">
        <v>1508</v>
      </c>
      <c r="Y96" s="107">
        <v>1158</v>
      </c>
      <c r="Z96" s="107">
        <v>797</v>
      </c>
      <c r="AA96" s="107">
        <v>648</v>
      </c>
      <c r="AB96" s="107">
        <v>622</v>
      </c>
      <c r="AC96" s="107">
        <v>669</v>
      </c>
      <c r="AD96" s="107">
        <v>717</v>
      </c>
      <c r="AE96" s="107">
        <v>643</v>
      </c>
      <c r="AF96" s="107">
        <v>693</v>
      </c>
      <c r="AG96" s="107">
        <v>777</v>
      </c>
      <c r="AH96" s="107">
        <v>692</v>
      </c>
      <c r="AI96" s="107">
        <v>684</v>
      </c>
      <c r="AJ96" s="107">
        <v>767</v>
      </c>
      <c r="AK96" s="107">
        <v>771</v>
      </c>
      <c r="AL96" s="107">
        <v>795</v>
      </c>
      <c r="AM96" s="107">
        <v>795</v>
      </c>
      <c r="AN96" s="107">
        <v>833</v>
      </c>
      <c r="AO96" s="107">
        <v>902</v>
      </c>
      <c r="AP96" s="107">
        <v>908</v>
      </c>
      <c r="AQ96" s="107">
        <v>849</v>
      </c>
      <c r="AR96" s="106"/>
      <c r="AS96" s="106"/>
      <c r="AT96" s="106"/>
      <c r="AU96" s="106"/>
      <c r="AV96" s="107">
        <v>601</v>
      </c>
      <c r="AW96" s="107">
        <v>806</v>
      </c>
      <c r="AX96" s="107">
        <v>691</v>
      </c>
      <c r="AY96" s="107">
        <v>735</v>
      </c>
      <c r="AZ96" s="107">
        <v>821</v>
      </c>
      <c r="BA96" s="107">
        <v>894</v>
      </c>
      <c r="BB96" s="107">
        <v>971</v>
      </c>
      <c r="BC96" s="107">
        <v>1376</v>
      </c>
      <c r="BD96" s="107">
        <v>1138</v>
      </c>
      <c r="BE96" s="107">
        <v>1118</v>
      </c>
      <c r="BF96" s="107">
        <v>1194</v>
      </c>
      <c r="BG96" s="107">
        <v>1093</v>
      </c>
      <c r="BH96" s="107">
        <v>404</v>
      </c>
      <c r="BI96" s="107">
        <v>262</v>
      </c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</row>
    <row r="97" spans="1:92" x14ac:dyDescent="0.2">
      <c r="A97" s="105" t="s">
        <v>493</v>
      </c>
      <c r="B97" s="105" t="s">
        <v>484</v>
      </c>
      <c r="C97" s="105">
        <v>18</v>
      </c>
      <c r="D97" s="105" t="s">
        <v>485</v>
      </c>
      <c r="E97" s="105" t="s">
        <v>104</v>
      </c>
      <c r="F97" s="105" t="s">
        <v>486</v>
      </c>
      <c r="G97" s="106"/>
      <c r="H97" s="106"/>
      <c r="I97" s="106"/>
      <c r="J97" s="107">
        <v>913</v>
      </c>
      <c r="K97" s="107">
        <v>889</v>
      </c>
      <c r="L97" s="107">
        <v>856</v>
      </c>
      <c r="M97" s="107">
        <v>692</v>
      </c>
      <c r="N97" s="107">
        <v>737</v>
      </c>
      <c r="O97" s="107">
        <v>802</v>
      </c>
      <c r="P97" s="107">
        <v>537</v>
      </c>
      <c r="Q97" s="107">
        <v>716</v>
      </c>
      <c r="R97" s="107">
        <v>815</v>
      </c>
      <c r="S97" s="107">
        <v>820</v>
      </c>
      <c r="T97" s="107">
        <v>729</v>
      </c>
      <c r="U97" s="107">
        <v>691</v>
      </c>
      <c r="V97" s="107">
        <v>657</v>
      </c>
      <c r="W97" s="107">
        <v>721</v>
      </c>
      <c r="X97" s="107">
        <v>794</v>
      </c>
      <c r="Y97" s="107">
        <v>728</v>
      </c>
      <c r="Z97" s="107">
        <v>840</v>
      </c>
      <c r="AA97" s="106"/>
      <c r="AB97" s="107">
        <v>696</v>
      </c>
      <c r="AC97" s="107">
        <v>782</v>
      </c>
      <c r="AD97" s="107">
        <v>795</v>
      </c>
      <c r="AE97" s="107">
        <v>882</v>
      </c>
      <c r="AF97" s="107">
        <v>830</v>
      </c>
      <c r="AG97" s="107">
        <v>873</v>
      </c>
      <c r="AH97" s="107">
        <v>950</v>
      </c>
      <c r="AI97" s="107">
        <v>1123</v>
      </c>
      <c r="AJ97" s="107">
        <v>1013</v>
      </c>
      <c r="AK97" s="107">
        <v>1181</v>
      </c>
      <c r="AL97" s="107">
        <v>1245</v>
      </c>
      <c r="AM97" s="107">
        <v>1237</v>
      </c>
      <c r="AN97" s="107">
        <v>1291</v>
      </c>
      <c r="AO97" s="107">
        <v>1372</v>
      </c>
      <c r="AP97" s="107">
        <v>1452</v>
      </c>
      <c r="AQ97" s="107">
        <v>1285</v>
      </c>
      <c r="AR97" s="107">
        <v>1136</v>
      </c>
      <c r="AS97" s="107">
        <v>1171</v>
      </c>
      <c r="AT97" s="107">
        <v>1125</v>
      </c>
      <c r="AU97" s="107">
        <v>1198</v>
      </c>
      <c r="AV97" s="107">
        <v>1227</v>
      </c>
      <c r="AW97" s="107">
        <v>1313</v>
      </c>
      <c r="AX97" s="107">
        <v>1317</v>
      </c>
      <c r="AY97" s="107">
        <v>1069</v>
      </c>
      <c r="AZ97" s="107">
        <v>1275</v>
      </c>
      <c r="BA97" s="107">
        <v>1229</v>
      </c>
      <c r="BB97" s="107">
        <v>1180</v>
      </c>
      <c r="BC97" s="107">
        <v>1133</v>
      </c>
      <c r="BD97" s="107">
        <v>1140</v>
      </c>
      <c r="BE97" s="107">
        <v>1113</v>
      </c>
      <c r="BF97" s="107">
        <v>1129</v>
      </c>
      <c r="BG97" s="107">
        <v>1179</v>
      </c>
      <c r="BH97" s="107">
        <v>1276</v>
      </c>
      <c r="BI97" s="107">
        <v>1370</v>
      </c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</row>
    <row r="98" spans="1:92" x14ac:dyDescent="0.2">
      <c r="A98" s="105" t="s">
        <v>494</v>
      </c>
      <c r="B98" s="105" t="s">
        <v>484</v>
      </c>
      <c r="C98" s="105">
        <v>19</v>
      </c>
      <c r="D98" s="105" t="s">
        <v>485</v>
      </c>
      <c r="E98" s="105" t="s">
        <v>131</v>
      </c>
      <c r="F98" s="105" t="s">
        <v>486</v>
      </c>
      <c r="G98" s="106"/>
      <c r="H98" s="106"/>
      <c r="I98" s="106"/>
      <c r="J98" s="106"/>
      <c r="K98" s="106"/>
      <c r="L98" s="106"/>
      <c r="M98" s="106"/>
      <c r="N98" s="106"/>
      <c r="O98" s="107">
        <v>84</v>
      </c>
      <c r="P98" s="106"/>
      <c r="Q98" s="106"/>
      <c r="R98" s="106"/>
      <c r="S98" s="107">
        <v>9</v>
      </c>
      <c r="T98" s="106"/>
      <c r="U98" s="106"/>
      <c r="V98" s="106"/>
      <c r="W98" s="107">
        <v>1</v>
      </c>
      <c r="X98" s="106"/>
      <c r="Y98" s="106"/>
      <c r="Z98" s="106"/>
      <c r="AA98" s="106"/>
      <c r="AB98" s="106"/>
      <c r="AC98" s="106"/>
      <c r="AD98" s="106"/>
      <c r="AE98" s="107">
        <v>1</v>
      </c>
      <c r="AF98" s="106"/>
      <c r="AG98" s="106"/>
      <c r="AH98" s="106"/>
      <c r="AI98" s="106"/>
      <c r="AJ98" s="106"/>
      <c r="AK98" s="106"/>
      <c r="AL98" s="106"/>
      <c r="AM98" s="107">
        <v>16</v>
      </c>
      <c r="AN98" s="107">
        <v>38</v>
      </c>
      <c r="AO98" s="107">
        <v>167</v>
      </c>
      <c r="AP98" s="107">
        <v>266</v>
      </c>
      <c r="AQ98" s="107">
        <v>317</v>
      </c>
      <c r="AR98" s="107">
        <v>336</v>
      </c>
      <c r="AS98" s="107">
        <v>355</v>
      </c>
      <c r="AT98" s="107">
        <v>477</v>
      </c>
      <c r="AU98" s="107">
        <v>583</v>
      </c>
      <c r="AV98" s="107">
        <v>582</v>
      </c>
      <c r="AW98" s="107">
        <v>660</v>
      </c>
      <c r="AX98" s="107">
        <v>613</v>
      </c>
      <c r="AY98" s="107">
        <v>657</v>
      </c>
      <c r="AZ98" s="107">
        <v>739</v>
      </c>
      <c r="BA98" s="107">
        <v>689</v>
      </c>
      <c r="BB98" s="107">
        <v>721</v>
      </c>
      <c r="BC98" s="107">
        <v>696</v>
      </c>
      <c r="BD98" s="107">
        <v>738</v>
      </c>
      <c r="BE98" s="107">
        <v>727</v>
      </c>
      <c r="BF98" s="107">
        <v>738</v>
      </c>
      <c r="BG98" s="107">
        <v>749</v>
      </c>
      <c r="BH98" s="107">
        <v>738</v>
      </c>
      <c r="BI98" s="107">
        <v>735</v>
      </c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</row>
    <row r="99" spans="1:92" x14ac:dyDescent="0.2">
      <c r="A99" s="105" t="s">
        <v>495</v>
      </c>
      <c r="B99" s="105" t="s">
        <v>484</v>
      </c>
      <c r="C99" s="105">
        <v>20</v>
      </c>
      <c r="D99" s="105" t="s">
        <v>485</v>
      </c>
      <c r="E99" s="105" t="s">
        <v>496</v>
      </c>
      <c r="F99" s="105" t="s">
        <v>486</v>
      </c>
      <c r="G99" s="106"/>
      <c r="H99" s="106"/>
      <c r="I99" s="106"/>
      <c r="J99" s="107">
        <v>1027</v>
      </c>
      <c r="K99" s="107">
        <v>1002</v>
      </c>
      <c r="L99" s="107">
        <v>878</v>
      </c>
      <c r="M99" s="107">
        <v>881</v>
      </c>
      <c r="N99" s="107">
        <v>768</v>
      </c>
      <c r="O99" s="107">
        <v>793</v>
      </c>
      <c r="P99" s="107">
        <v>848</v>
      </c>
      <c r="Q99" s="107">
        <v>860</v>
      </c>
      <c r="R99" s="107">
        <v>802</v>
      </c>
      <c r="S99" s="107">
        <v>920</v>
      </c>
      <c r="T99" s="107">
        <v>881</v>
      </c>
      <c r="U99" s="107">
        <v>886</v>
      </c>
      <c r="V99" s="107">
        <v>824</v>
      </c>
      <c r="W99" s="107">
        <v>1041</v>
      </c>
      <c r="X99" s="107">
        <v>840</v>
      </c>
      <c r="Y99" s="107">
        <v>660</v>
      </c>
      <c r="Z99" s="107">
        <v>699</v>
      </c>
      <c r="AA99" s="107">
        <v>681</v>
      </c>
      <c r="AB99" s="107">
        <v>641</v>
      </c>
      <c r="AC99" s="107">
        <v>611</v>
      </c>
      <c r="AD99" s="107">
        <v>472</v>
      </c>
      <c r="AE99" s="107">
        <v>484</v>
      </c>
      <c r="AF99" s="107">
        <v>664</v>
      </c>
      <c r="AG99" s="107">
        <v>653</v>
      </c>
      <c r="AH99" s="107">
        <v>751</v>
      </c>
      <c r="AI99" s="107">
        <v>787</v>
      </c>
      <c r="AJ99" s="107">
        <v>881</v>
      </c>
      <c r="AK99" s="107">
        <v>817</v>
      </c>
      <c r="AL99" s="107">
        <v>906</v>
      </c>
      <c r="AM99" s="107">
        <v>955</v>
      </c>
      <c r="AN99" s="106"/>
      <c r="AO99" s="107">
        <v>1023</v>
      </c>
      <c r="AP99" s="107">
        <v>944</v>
      </c>
      <c r="AQ99" s="107">
        <v>1019</v>
      </c>
      <c r="AR99" s="107">
        <v>986</v>
      </c>
      <c r="AS99" s="107">
        <v>817</v>
      </c>
      <c r="AT99" s="107">
        <v>909</v>
      </c>
      <c r="AU99" s="107">
        <v>986</v>
      </c>
      <c r="AV99" s="107">
        <v>938</v>
      </c>
      <c r="AW99" s="107">
        <v>895</v>
      </c>
      <c r="AX99" s="107">
        <v>1010</v>
      </c>
      <c r="AY99" s="107">
        <v>1043</v>
      </c>
      <c r="AZ99" s="107">
        <v>972</v>
      </c>
      <c r="BA99" s="107">
        <v>1105</v>
      </c>
      <c r="BB99" s="107">
        <v>1022</v>
      </c>
      <c r="BC99" s="107">
        <v>1148</v>
      </c>
      <c r="BD99" s="107">
        <v>1181</v>
      </c>
      <c r="BE99" s="107">
        <v>1190</v>
      </c>
      <c r="BF99" s="107">
        <v>1271</v>
      </c>
      <c r="BG99" s="107">
        <v>1185</v>
      </c>
      <c r="BH99" s="107">
        <v>1103</v>
      </c>
      <c r="BI99" s="107">
        <v>1117</v>
      </c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</row>
    <row r="100" spans="1:92" x14ac:dyDescent="0.2">
      <c r="A100" s="105" t="s">
        <v>497</v>
      </c>
      <c r="B100" s="105" t="s">
        <v>484</v>
      </c>
      <c r="C100" s="105">
        <v>29</v>
      </c>
      <c r="D100" s="105" t="s">
        <v>128</v>
      </c>
      <c r="E100" s="105" t="s">
        <v>498</v>
      </c>
      <c r="F100" s="105" t="s">
        <v>486</v>
      </c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7">
        <v>250</v>
      </c>
      <c r="CK100" s="106"/>
      <c r="CL100" s="106"/>
      <c r="CM100" s="106"/>
      <c r="CN100" s="106"/>
    </row>
    <row r="101" spans="1:92" x14ac:dyDescent="0.2">
      <c r="A101" s="105" t="s">
        <v>499</v>
      </c>
      <c r="B101" s="105" t="s">
        <v>484</v>
      </c>
      <c r="C101" s="105">
        <v>30</v>
      </c>
      <c r="D101" s="105" t="s">
        <v>128</v>
      </c>
      <c r="E101" s="105" t="s">
        <v>500</v>
      </c>
      <c r="F101" s="105" t="s">
        <v>486</v>
      </c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7">
        <v>140</v>
      </c>
      <c r="CK101" s="106"/>
      <c r="CL101" s="106"/>
      <c r="CM101" s="106"/>
      <c r="CN101" s="106"/>
    </row>
    <row r="102" spans="1:92" x14ac:dyDescent="0.2">
      <c r="A102" s="105" t="s">
        <v>501</v>
      </c>
      <c r="B102" s="105" t="s">
        <v>484</v>
      </c>
      <c r="C102" s="105">
        <v>34</v>
      </c>
      <c r="D102" s="105" t="s">
        <v>122</v>
      </c>
      <c r="E102" s="105" t="s">
        <v>498</v>
      </c>
      <c r="F102" s="105" t="s">
        <v>486</v>
      </c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7">
        <v>3</v>
      </c>
      <c r="CK102" s="106"/>
      <c r="CL102" s="106"/>
      <c r="CM102" s="106"/>
      <c r="CN102" s="106"/>
    </row>
    <row r="103" spans="1:92" x14ac:dyDescent="0.2">
      <c r="A103" s="105" t="s">
        <v>502</v>
      </c>
      <c r="B103" s="105" t="s">
        <v>484</v>
      </c>
      <c r="C103" s="105">
        <v>35</v>
      </c>
      <c r="D103" s="105" t="s">
        <v>122</v>
      </c>
      <c r="E103" s="105" t="s">
        <v>500</v>
      </c>
      <c r="F103" s="105" t="s">
        <v>486</v>
      </c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7">
        <v>874</v>
      </c>
      <c r="CK103" s="106"/>
      <c r="CL103" s="106"/>
      <c r="CM103" s="106"/>
      <c r="CN103" s="106"/>
    </row>
  </sheetData>
  <autoFilter ref="A1:CN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N227"/>
  <sheetViews>
    <sheetView showGridLines="0" tabSelected="1" zoomScale="70" zoomScaleNormal="70" workbookViewId="0">
      <pane xSplit="1" topLeftCell="M1" activePane="topRight" state="frozen"/>
      <selection pane="topRight" activeCell="P14" sqref="P14"/>
    </sheetView>
  </sheetViews>
  <sheetFormatPr baseColWidth="10" defaultColWidth="9.1640625" defaultRowHeight="15" customHeight="1" outlineLevelCol="1" x14ac:dyDescent="0.2"/>
  <cols>
    <col min="1" max="1" width="55" customWidth="1"/>
    <col min="2" max="2" width="15.83203125" bestFit="1" customWidth="1"/>
    <col min="3" max="3" width="16.5" style="13" customWidth="1"/>
    <col min="4" max="4" width="10.5" customWidth="1" outlineLevel="1"/>
    <col min="5" max="60" width="10" customWidth="1" outlineLevel="1"/>
    <col min="61" max="61" width="12.33203125" style="13" customWidth="1"/>
    <col min="62" max="62" width="11.33203125" customWidth="1"/>
    <col min="63" max="63" width="13.33203125" customWidth="1"/>
    <col min="64" max="64" width="11.83203125" customWidth="1"/>
    <col min="65" max="65" width="12.1640625" customWidth="1"/>
    <col min="66" max="66" width="14" customWidth="1"/>
    <col min="67" max="73" width="12.5" customWidth="1"/>
    <col min="74" max="74" width="11.6640625" customWidth="1"/>
    <col min="75" max="75" width="24.33203125" customWidth="1"/>
    <col min="76" max="81" width="6.6640625" customWidth="1"/>
    <col min="82" max="82" width="10.5" bestFit="1" customWidth="1"/>
    <col min="83" max="83" width="7" bestFit="1" customWidth="1"/>
    <col min="84" max="84" width="7.5" bestFit="1" customWidth="1"/>
    <col min="85" max="85" width="7" bestFit="1" customWidth="1"/>
    <col min="86" max="87" width="8.1640625" bestFit="1" customWidth="1"/>
    <col min="88" max="91" width="10.83203125" bestFit="1" customWidth="1"/>
    <col min="92" max="92" width="11.1640625" customWidth="1"/>
    <col min="93" max="93" width="11.5" customWidth="1"/>
    <col min="94" max="94" width="12.1640625" bestFit="1" customWidth="1"/>
    <col min="95" max="96" width="9.1640625" customWidth="1"/>
    <col min="97" max="97" width="30.1640625" customWidth="1"/>
    <col min="98" max="98" width="36" customWidth="1"/>
    <col min="99" max="99" width="37" customWidth="1"/>
    <col min="100" max="100" width="9.6640625" customWidth="1"/>
    <col min="101" max="101" width="12" customWidth="1"/>
    <col min="102" max="102" width="10.83203125" style="14" customWidth="1"/>
    <col min="103" max="104" width="11.33203125" customWidth="1"/>
    <col min="105" max="105" width="13.1640625" customWidth="1"/>
    <col min="106" max="106" width="14.1640625" customWidth="1"/>
    <col min="107" max="107" width="13.83203125" customWidth="1"/>
    <col min="108" max="111" width="11.6640625" customWidth="1"/>
    <col min="112" max="115" width="10.5" customWidth="1"/>
    <col min="116" max="116" width="9.5" style="4" customWidth="1"/>
    <col min="117" max="132" width="9.5" customWidth="1"/>
    <col min="170" max="179" width="14.5" customWidth="1"/>
  </cols>
  <sheetData>
    <row r="1" spans="1:182" ht="18.75" customHeight="1" x14ac:dyDescent="0.25">
      <c r="A1" s="3" t="s">
        <v>0</v>
      </c>
      <c r="B1" s="3"/>
      <c r="C1" s="1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15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X1" s="21"/>
      <c r="CY1" s="3"/>
      <c r="CZ1" s="3"/>
      <c r="DA1" s="3"/>
    </row>
    <row r="3" spans="1:182" x14ac:dyDescent="0.2">
      <c r="A3" s="1" t="s">
        <v>1</v>
      </c>
    </row>
    <row r="4" spans="1:182" x14ac:dyDescent="0.2">
      <c r="A4" t="s">
        <v>2</v>
      </c>
    </row>
    <row r="5" spans="1:182" x14ac:dyDescent="0.2">
      <c r="A5" s="2" t="s">
        <v>3</v>
      </c>
    </row>
    <row r="6" spans="1:182" x14ac:dyDescent="0.2">
      <c r="A6" s="6" t="s">
        <v>4</v>
      </c>
      <c r="D6" s="1" t="s">
        <v>5</v>
      </c>
    </row>
    <row r="7" spans="1:182" x14ac:dyDescent="0.2">
      <c r="D7" s="8">
        <v>2012</v>
      </c>
      <c r="E7" s="8">
        <v>2012</v>
      </c>
      <c r="F7" s="8">
        <v>2012</v>
      </c>
      <c r="G7" s="8">
        <v>2012</v>
      </c>
      <c r="H7" s="8">
        <v>2013</v>
      </c>
      <c r="I7" s="8">
        <v>2013</v>
      </c>
      <c r="J7" s="8">
        <v>2013</v>
      </c>
      <c r="K7" s="8">
        <v>2013</v>
      </c>
      <c r="L7" s="8">
        <v>2014</v>
      </c>
      <c r="M7" s="8">
        <v>2014</v>
      </c>
      <c r="N7" s="8">
        <v>2014</v>
      </c>
      <c r="O7" s="8">
        <v>2014</v>
      </c>
      <c r="P7" s="8">
        <v>2015</v>
      </c>
      <c r="Q7" s="8">
        <v>2015</v>
      </c>
      <c r="R7" s="8">
        <v>2015</v>
      </c>
      <c r="S7" s="8">
        <v>2015</v>
      </c>
      <c r="T7" s="8">
        <v>2016</v>
      </c>
      <c r="U7" s="8">
        <v>2016</v>
      </c>
      <c r="V7" s="8">
        <v>2016</v>
      </c>
      <c r="W7" s="8">
        <v>2016</v>
      </c>
      <c r="X7" s="8">
        <v>2017</v>
      </c>
      <c r="Y7" s="8">
        <v>2017</v>
      </c>
      <c r="Z7" s="8">
        <v>2017</v>
      </c>
      <c r="AA7" s="8">
        <v>2017</v>
      </c>
      <c r="AB7" s="8">
        <v>2018</v>
      </c>
      <c r="AC7" s="8">
        <v>2018</v>
      </c>
      <c r="AD7" s="8">
        <v>2018</v>
      </c>
      <c r="AE7" s="8">
        <v>2018</v>
      </c>
      <c r="AF7" s="8">
        <v>2019</v>
      </c>
      <c r="AG7" s="8">
        <v>2019</v>
      </c>
      <c r="AH7" s="8">
        <v>2019</v>
      </c>
      <c r="AI7" s="8">
        <v>2019</v>
      </c>
      <c r="AJ7" s="8">
        <v>2020</v>
      </c>
      <c r="AK7" s="8">
        <v>2020</v>
      </c>
      <c r="AL7" s="8">
        <v>2020</v>
      </c>
      <c r="AM7" s="8">
        <v>2020</v>
      </c>
      <c r="AN7" s="8">
        <v>2021</v>
      </c>
      <c r="AO7" s="8">
        <v>2021</v>
      </c>
      <c r="AP7" s="8">
        <v>2021</v>
      </c>
      <c r="AQ7" s="8">
        <v>2021</v>
      </c>
      <c r="AR7" s="8">
        <v>2022</v>
      </c>
      <c r="AS7" s="8">
        <v>2022</v>
      </c>
      <c r="AT7" s="8">
        <v>2022</v>
      </c>
      <c r="AU7" s="8">
        <v>2022</v>
      </c>
      <c r="AV7" s="8">
        <v>2023</v>
      </c>
      <c r="AW7" s="8">
        <v>2023</v>
      </c>
      <c r="AX7" s="8">
        <v>2023</v>
      </c>
      <c r="AY7" s="8">
        <v>2023</v>
      </c>
      <c r="AZ7" s="8">
        <v>2024</v>
      </c>
      <c r="BA7" s="8">
        <v>2024</v>
      </c>
      <c r="BB7" s="8">
        <v>2024</v>
      </c>
      <c r="BC7" s="8">
        <v>2024</v>
      </c>
      <c r="BD7" s="8">
        <v>2025</v>
      </c>
      <c r="BE7" s="8">
        <v>2025</v>
      </c>
      <c r="BF7" s="8">
        <v>2025</v>
      </c>
      <c r="BG7" s="8">
        <v>2025</v>
      </c>
      <c r="BH7" s="1"/>
      <c r="BJ7" s="17"/>
      <c r="BK7" s="17"/>
      <c r="BL7" s="17"/>
      <c r="BM7" s="17"/>
      <c r="BN7" s="8"/>
      <c r="BX7" s="20" t="s">
        <v>6</v>
      </c>
      <c r="BY7" s="20"/>
      <c r="BZ7" s="20"/>
      <c r="CA7" s="20"/>
      <c r="CB7" s="20"/>
      <c r="CC7" s="20"/>
      <c r="CE7" s="20" t="s">
        <v>6</v>
      </c>
      <c r="CI7" s="63"/>
      <c r="CJ7" s="63"/>
      <c r="CK7" s="63"/>
      <c r="CL7" s="63"/>
      <c r="CM7" s="63"/>
      <c r="CN7" s="63"/>
      <c r="CO7" s="63"/>
      <c r="CP7" s="63"/>
      <c r="CU7" s="20" t="s">
        <v>7</v>
      </c>
      <c r="CW7" s="20" t="s">
        <v>7</v>
      </c>
      <c r="CX7" s="20"/>
      <c r="CY7" s="17"/>
      <c r="CZ7" s="17"/>
      <c r="DA7" s="17"/>
      <c r="DL7" s="108"/>
      <c r="DM7" s="109"/>
      <c r="DN7" s="109"/>
      <c r="DO7" s="109"/>
      <c r="DP7" s="109"/>
      <c r="DQ7" s="109"/>
      <c r="DR7" s="109"/>
      <c r="FN7" s="20"/>
    </row>
    <row r="8" spans="1:182" ht="30.75" customHeight="1" x14ac:dyDescent="0.2">
      <c r="B8" s="5" t="s">
        <v>8</v>
      </c>
      <c r="C8" s="18" t="s">
        <v>9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10</v>
      </c>
      <c r="I8" s="18" t="s">
        <v>11</v>
      </c>
      <c r="J8" s="18" t="s">
        <v>12</v>
      </c>
      <c r="K8" s="18" t="s">
        <v>13</v>
      </c>
      <c r="L8" s="18" t="s">
        <v>10</v>
      </c>
      <c r="M8" s="18" t="s">
        <v>11</v>
      </c>
      <c r="N8" s="18" t="s">
        <v>12</v>
      </c>
      <c r="O8" s="18" t="s">
        <v>13</v>
      </c>
      <c r="P8" s="18" t="s">
        <v>10</v>
      </c>
      <c r="Q8" s="18" t="s">
        <v>10</v>
      </c>
      <c r="R8" s="18" t="s">
        <v>12</v>
      </c>
      <c r="S8" s="18" t="s">
        <v>13</v>
      </c>
      <c r="T8" s="18" t="s">
        <v>10</v>
      </c>
      <c r="U8" s="18" t="s">
        <v>11</v>
      </c>
      <c r="V8" s="18" t="s">
        <v>12</v>
      </c>
      <c r="W8" s="18" t="s">
        <v>13</v>
      </c>
      <c r="X8" s="18" t="s">
        <v>10</v>
      </c>
      <c r="Y8" s="18" t="s">
        <v>11</v>
      </c>
      <c r="Z8" s="18" t="s">
        <v>12</v>
      </c>
      <c r="AA8" s="18" t="s">
        <v>13</v>
      </c>
      <c r="AB8" s="18" t="s">
        <v>10</v>
      </c>
      <c r="AC8" s="18" t="s">
        <v>11</v>
      </c>
      <c r="AD8" s="18" t="s">
        <v>12</v>
      </c>
      <c r="AE8" s="18" t="s">
        <v>13</v>
      </c>
      <c r="AF8" s="18" t="s">
        <v>10</v>
      </c>
      <c r="AG8" s="18" t="s">
        <v>11</v>
      </c>
      <c r="AH8" s="18" t="s">
        <v>12</v>
      </c>
      <c r="AI8" s="18" t="s">
        <v>13</v>
      </c>
      <c r="AJ8" s="18" t="s">
        <v>10</v>
      </c>
      <c r="AK8" s="18" t="s">
        <v>11</v>
      </c>
      <c r="AL8" s="18" t="s">
        <v>12</v>
      </c>
      <c r="AM8" s="18" t="s">
        <v>13</v>
      </c>
      <c r="AN8" s="18" t="s">
        <v>10</v>
      </c>
      <c r="AO8" s="18" t="s">
        <v>11</v>
      </c>
      <c r="AP8" s="18" t="s">
        <v>12</v>
      </c>
      <c r="AQ8" s="18" t="s">
        <v>13</v>
      </c>
      <c r="AR8" s="18" t="s">
        <v>10</v>
      </c>
      <c r="AS8" s="18" t="s">
        <v>11</v>
      </c>
      <c r="AT8" s="18" t="s">
        <v>12</v>
      </c>
      <c r="AU8" s="18" t="s">
        <v>13</v>
      </c>
      <c r="AV8" s="18" t="s">
        <v>10</v>
      </c>
      <c r="AW8" s="18" t="s">
        <v>11</v>
      </c>
      <c r="AX8" s="18" t="s">
        <v>12</v>
      </c>
      <c r="AY8" s="18" t="s">
        <v>13</v>
      </c>
      <c r="AZ8" s="18" t="s">
        <v>10</v>
      </c>
      <c r="BA8" s="18" t="s">
        <v>11</v>
      </c>
      <c r="BB8" s="18" t="s">
        <v>12</v>
      </c>
      <c r="BC8" s="18" t="s">
        <v>13</v>
      </c>
      <c r="BD8" s="18" t="s">
        <v>10</v>
      </c>
      <c r="BE8" s="18" t="s">
        <v>11</v>
      </c>
      <c r="BF8" s="18" t="s">
        <v>12</v>
      </c>
      <c r="BG8" s="18" t="s">
        <v>13</v>
      </c>
      <c r="BH8" s="1"/>
      <c r="BI8" s="18" t="s">
        <v>14</v>
      </c>
      <c r="BJ8" s="18" t="s">
        <v>15</v>
      </c>
      <c r="BK8" s="18" t="s">
        <v>16</v>
      </c>
      <c r="BL8" s="18" t="s">
        <v>17</v>
      </c>
      <c r="BM8" s="18" t="s">
        <v>18</v>
      </c>
      <c r="BN8" s="18" t="s">
        <v>19</v>
      </c>
      <c r="BO8" s="18" t="s">
        <v>20</v>
      </c>
      <c r="BP8" s="18" t="s">
        <v>21</v>
      </c>
      <c r="BQ8" s="18" t="s">
        <v>22</v>
      </c>
      <c r="BR8" s="18" t="s">
        <v>23</v>
      </c>
      <c r="BS8" s="18" t="s">
        <v>24</v>
      </c>
      <c r="BT8" s="18" t="s">
        <v>25</v>
      </c>
      <c r="BU8" s="18" t="s">
        <v>26</v>
      </c>
      <c r="BV8" s="18" t="s">
        <v>27</v>
      </c>
      <c r="BW8" s="18"/>
      <c r="BX8" s="23">
        <v>2012</v>
      </c>
      <c r="BY8" s="23">
        <v>2013</v>
      </c>
      <c r="BZ8" s="23">
        <v>2014</v>
      </c>
      <c r="CA8" s="23">
        <v>2015</v>
      </c>
      <c r="CB8" s="23">
        <v>2016</v>
      </c>
      <c r="CC8" s="23">
        <v>2017</v>
      </c>
      <c r="CE8" s="5">
        <v>2012</v>
      </c>
      <c r="CF8" s="5">
        <v>2013</v>
      </c>
      <c r="CG8" s="5">
        <v>2014</v>
      </c>
      <c r="CH8" s="5">
        <v>2015</v>
      </c>
      <c r="CI8" s="5">
        <v>2016</v>
      </c>
      <c r="CJ8" s="5">
        <v>2017</v>
      </c>
      <c r="CK8" s="5">
        <v>2018</v>
      </c>
      <c r="CL8" s="5">
        <v>2019</v>
      </c>
      <c r="CM8" s="5">
        <v>2020</v>
      </c>
      <c r="CN8" s="5">
        <v>2021</v>
      </c>
      <c r="CO8" s="5">
        <v>2022</v>
      </c>
      <c r="CP8" s="5">
        <v>2023</v>
      </c>
      <c r="CQ8" s="5">
        <v>2024</v>
      </c>
      <c r="CS8" s="5" t="s">
        <v>28</v>
      </c>
      <c r="CT8" s="1"/>
      <c r="CU8" s="5" t="s">
        <v>29</v>
      </c>
      <c r="CV8" s="1"/>
      <c r="CW8" s="38" t="s">
        <v>14</v>
      </c>
      <c r="CX8" s="18" t="s">
        <v>15</v>
      </c>
      <c r="CY8" s="18" t="s">
        <v>16</v>
      </c>
      <c r="CZ8" s="18" t="s">
        <v>17</v>
      </c>
      <c r="DA8" s="18" t="s">
        <v>18</v>
      </c>
      <c r="DB8" s="18" t="s">
        <v>19</v>
      </c>
      <c r="DC8" s="18" t="s">
        <v>20</v>
      </c>
      <c r="DD8" s="18" t="s">
        <v>21</v>
      </c>
      <c r="DE8" s="18" t="s">
        <v>22</v>
      </c>
      <c r="DF8" s="18" t="s">
        <v>23</v>
      </c>
      <c r="DG8" s="18" t="s">
        <v>24</v>
      </c>
      <c r="DH8" s="18" t="s">
        <v>25</v>
      </c>
      <c r="DI8" s="18" t="s">
        <v>26</v>
      </c>
      <c r="DJ8" s="18" t="s">
        <v>27</v>
      </c>
      <c r="DL8" s="5" t="s">
        <v>30</v>
      </c>
      <c r="DM8" s="5" t="s">
        <v>31</v>
      </c>
      <c r="DN8" s="5" t="s">
        <v>32</v>
      </c>
      <c r="DO8" s="5" t="s">
        <v>33</v>
      </c>
      <c r="DP8" s="5" t="s">
        <v>34</v>
      </c>
      <c r="DQ8" s="5" t="s">
        <v>35</v>
      </c>
      <c r="DR8" s="5" t="s">
        <v>36</v>
      </c>
      <c r="DS8" s="5" t="s">
        <v>37</v>
      </c>
      <c r="DT8" s="5" t="s">
        <v>38</v>
      </c>
      <c r="DU8" s="5" t="s">
        <v>39</v>
      </c>
      <c r="DV8" s="5" t="s">
        <v>40</v>
      </c>
      <c r="DW8" s="5" t="s">
        <v>41</v>
      </c>
      <c r="DX8" s="5" t="s">
        <v>42</v>
      </c>
      <c r="DY8" s="5" t="s">
        <v>43</v>
      </c>
      <c r="DZ8" s="5" t="s">
        <v>44</v>
      </c>
      <c r="EA8" s="5" t="s">
        <v>45</v>
      </c>
      <c r="EB8" s="5" t="s">
        <v>46</v>
      </c>
      <c r="EC8" s="5" t="s">
        <v>47</v>
      </c>
      <c r="ED8" s="5" t="s">
        <v>48</v>
      </c>
      <c r="EE8" s="5" t="s">
        <v>49</v>
      </c>
      <c r="EF8" s="5" t="s">
        <v>50</v>
      </c>
      <c r="EG8" s="5" t="s">
        <v>51</v>
      </c>
      <c r="EH8" s="5" t="s">
        <v>52</v>
      </c>
      <c r="EI8" s="5" t="s">
        <v>53</v>
      </c>
      <c r="EJ8" s="5" t="s">
        <v>54</v>
      </c>
      <c r="EK8" s="5" t="s">
        <v>55</v>
      </c>
      <c r="EL8" s="5" t="s">
        <v>56</v>
      </c>
      <c r="EM8" s="5" t="s">
        <v>57</v>
      </c>
      <c r="EN8" s="5" t="s">
        <v>58</v>
      </c>
      <c r="EO8" s="5" t="s">
        <v>59</v>
      </c>
      <c r="EP8" s="5" t="s">
        <v>60</v>
      </c>
      <c r="EQ8" s="5" t="s">
        <v>61</v>
      </c>
      <c r="ER8" s="5" t="s">
        <v>62</v>
      </c>
      <c r="ES8" s="5" t="s">
        <v>63</v>
      </c>
      <c r="ET8" s="5" t="s">
        <v>64</v>
      </c>
      <c r="EU8" s="5" t="s">
        <v>65</v>
      </c>
      <c r="EV8" s="98" t="s">
        <v>66</v>
      </c>
      <c r="EW8" s="98" t="s">
        <v>67</v>
      </c>
      <c r="EX8" s="98" t="s">
        <v>68</v>
      </c>
      <c r="EY8" s="98" t="s">
        <v>69</v>
      </c>
      <c r="EZ8" s="98" t="s">
        <v>70</v>
      </c>
      <c r="FA8" s="98" t="s">
        <v>71</v>
      </c>
      <c r="FB8" s="98" t="s">
        <v>72</v>
      </c>
      <c r="FC8" s="98" t="s">
        <v>73</v>
      </c>
      <c r="FD8" s="98" t="s">
        <v>74</v>
      </c>
      <c r="FE8" s="98" t="s">
        <v>75</v>
      </c>
      <c r="FF8" s="98" t="s">
        <v>76</v>
      </c>
      <c r="FG8" s="98" t="s">
        <v>77</v>
      </c>
      <c r="FH8" s="98" t="s">
        <v>78</v>
      </c>
      <c r="FI8" s="98" t="s">
        <v>79</v>
      </c>
      <c r="FJ8" s="98" t="s">
        <v>80</v>
      </c>
      <c r="FK8" s="98" t="s">
        <v>81</v>
      </c>
      <c r="FL8" s="98" t="s">
        <v>82</v>
      </c>
      <c r="FN8" s="23">
        <v>2012</v>
      </c>
      <c r="FO8" s="23">
        <v>2013</v>
      </c>
      <c r="FP8" s="23">
        <v>2014</v>
      </c>
      <c r="FQ8" s="23">
        <v>2015</v>
      </c>
      <c r="FR8" s="23">
        <v>2016</v>
      </c>
      <c r="FS8" s="23">
        <v>2017</v>
      </c>
      <c r="FT8" s="23">
        <v>2018</v>
      </c>
      <c r="FU8" s="23">
        <v>2019</v>
      </c>
      <c r="FV8" s="23">
        <v>2020</v>
      </c>
      <c r="FW8" s="23">
        <v>2021</v>
      </c>
      <c r="FX8" s="23">
        <v>2022</v>
      </c>
      <c r="FY8" s="23">
        <v>2023</v>
      </c>
      <c r="FZ8" s="23">
        <v>2024</v>
      </c>
    </row>
    <row r="9" spans="1:182" x14ac:dyDescent="0.2">
      <c r="A9" s="1" t="s">
        <v>83</v>
      </c>
      <c r="D9" s="1"/>
      <c r="E9" s="1"/>
      <c r="F9" s="1"/>
      <c r="G9" s="1"/>
      <c r="H9" s="2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E9" s="1"/>
      <c r="CF9" s="1"/>
      <c r="CG9" s="1"/>
      <c r="CH9" s="1"/>
      <c r="CI9" s="1"/>
      <c r="CJ9" s="24"/>
      <c r="CK9" s="24"/>
      <c r="CL9" s="24"/>
      <c r="CM9" s="24"/>
      <c r="CN9" s="24"/>
      <c r="CO9" s="24"/>
      <c r="CP9" s="24"/>
      <c r="CS9" s="1"/>
      <c r="CT9" s="1"/>
      <c r="CU9" s="1"/>
      <c r="CV9" s="1"/>
      <c r="CW9" s="1"/>
      <c r="CX9" s="17"/>
      <c r="CY9" s="1"/>
      <c r="CZ9" s="1"/>
      <c r="DA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</row>
    <row r="10" spans="1:182" x14ac:dyDescent="0.2">
      <c r="A10" t="s">
        <v>84</v>
      </c>
      <c r="B10" t="s">
        <v>85</v>
      </c>
      <c r="C10" s="22">
        <v>100</v>
      </c>
      <c r="D10" s="1"/>
      <c r="E10" s="1"/>
      <c r="F10" s="1"/>
      <c r="G10" s="63"/>
      <c r="H10" s="63">
        <f>SourcedData!N2/$C$10%</f>
        <v>1.1514</v>
      </c>
      <c r="I10" s="63">
        <f>SourcedData!O2/$C$10%</f>
        <v>1.7253000000000001</v>
      </c>
      <c r="J10" s="63">
        <f>SourcedData!P2/$C$10%</f>
        <v>1.7523</v>
      </c>
      <c r="K10" s="63">
        <f>SourcedData!Q2/$C$10%</f>
        <v>1.6888000000000001</v>
      </c>
      <c r="L10" s="63">
        <f>SourcedData!R2/$C$10%</f>
        <v>1.2292000000000001</v>
      </c>
      <c r="M10" s="63">
        <f>SourcedData!S2/$C$10%</f>
        <v>1.8446</v>
      </c>
      <c r="N10" s="63">
        <f>SourcedData!T2/$C$10%</f>
        <v>2.3184999999999998</v>
      </c>
      <c r="O10" s="63">
        <f>SourcedData!U2/$C$10%</f>
        <v>2.1646999999999998</v>
      </c>
      <c r="P10" s="63">
        <f>SourcedData!V2/$C$10%</f>
        <v>1.857</v>
      </c>
      <c r="Q10" s="63">
        <f>SourcedData!W2/$C$10%</f>
        <v>1.7892999999999999</v>
      </c>
      <c r="R10" s="63">
        <f>SourcedData!X2/$C$10%</f>
        <v>1.9888999999999999</v>
      </c>
      <c r="S10" s="63">
        <f>SourcedData!Y2/$C$10%</f>
        <v>2.2951999999999999</v>
      </c>
      <c r="T10" s="63">
        <f>SourcedData!Z2/$C$10%</f>
        <v>1.7482</v>
      </c>
      <c r="U10" s="63">
        <f>SourcedData!AA2/$C$10%</f>
        <v>1.8052999999999999</v>
      </c>
      <c r="V10" s="63">
        <f>SourcedData!AB2/$C$10%</f>
        <v>1.9389000000000001</v>
      </c>
      <c r="W10" s="63">
        <f>SourcedData!AC2/$C$10%</f>
        <v>0.73839999999999995</v>
      </c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1"/>
      <c r="BI10" s="2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7">
        <f>SourcedData!CB2</f>
        <v>7.4640000000000004</v>
      </c>
      <c r="BY10" s="7"/>
      <c r="BZ10" s="7"/>
      <c r="CA10" s="7"/>
      <c r="CB10" s="7"/>
      <c r="CC10" s="7"/>
      <c r="CE10" s="59">
        <f t="shared" ref="CE10:CE16" si="0">BX10/C10%</f>
        <v>7.4640000000000004</v>
      </c>
      <c r="CF10" s="59">
        <f t="shared" ref="CF10:CI13" si="1">SUMIF($H$7:$AA$7,CF$8,$H10:$AA10)</f>
        <v>6.3178000000000001</v>
      </c>
      <c r="CG10" s="59">
        <f t="shared" si="1"/>
        <v>7.5570000000000004</v>
      </c>
      <c r="CH10" s="59">
        <f t="shared" si="1"/>
        <v>7.9304000000000006</v>
      </c>
      <c r="CI10" s="59">
        <f t="shared" si="1"/>
        <v>6.2308000000000003</v>
      </c>
      <c r="CJ10" s="64"/>
      <c r="CK10" s="64"/>
      <c r="CL10" s="64"/>
      <c r="CM10" s="64"/>
      <c r="CN10" s="64"/>
      <c r="CO10" s="64"/>
      <c r="CP10" s="64"/>
      <c r="CS10" t="s">
        <v>86</v>
      </c>
      <c r="CT10" s="1"/>
      <c r="CU10" s="4" t="s">
        <v>87</v>
      </c>
      <c r="CV10" s="1"/>
      <c r="CW10" s="1"/>
      <c r="CX10" s="17"/>
      <c r="CY10" s="1"/>
      <c r="CZ10" s="1"/>
      <c r="DA10" s="1"/>
      <c r="DL10" s="1"/>
      <c r="DM10" s="1"/>
      <c r="DN10" s="1"/>
      <c r="DO10" s="1"/>
      <c r="DP10" s="4"/>
      <c r="DQ10" s="4" t="s">
        <v>88</v>
      </c>
      <c r="DR10" s="4" t="s">
        <v>88</v>
      </c>
      <c r="DS10" s="4" t="s">
        <v>88</v>
      </c>
      <c r="DT10" s="4" t="s">
        <v>88</v>
      </c>
      <c r="DU10" s="4" t="s">
        <v>89</v>
      </c>
      <c r="DV10" s="4" t="s">
        <v>89</v>
      </c>
      <c r="DW10" s="4" t="s">
        <v>89</v>
      </c>
      <c r="DX10" s="4" t="s">
        <v>89</v>
      </c>
      <c r="DY10" s="4" t="s">
        <v>90</v>
      </c>
      <c r="DZ10" s="4" t="s">
        <v>90</v>
      </c>
      <c r="EA10" s="4" t="s">
        <v>90</v>
      </c>
      <c r="EB10" s="4" t="s">
        <v>90</v>
      </c>
      <c r="EC10" s="4" t="s">
        <v>91</v>
      </c>
      <c r="ED10" s="4" t="s">
        <v>91</v>
      </c>
      <c r="EE10" s="4" t="s">
        <v>91</v>
      </c>
      <c r="EF10" s="4" t="s">
        <v>91</v>
      </c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 t="s">
        <v>92</v>
      </c>
    </row>
    <row r="11" spans="1:182" x14ac:dyDescent="0.2">
      <c r="A11" t="s">
        <v>93</v>
      </c>
      <c r="B11" t="s">
        <v>85</v>
      </c>
      <c r="C11" s="22">
        <v>70</v>
      </c>
      <c r="D11" s="1"/>
      <c r="E11" s="1"/>
      <c r="F11" s="1"/>
      <c r="G11" s="63"/>
      <c r="H11" s="63">
        <f>SourcedData!N3/$C$11%</f>
        <v>2.0221428571428572</v>
      </c>
      <c r="I11" s="63">
        <f>SourcedData!O3/$C$11%</f>
        <v>2.0872857142857146</v>
      </c>
      <c r="J11" s="63">
        <f>SourcedData!P3/$C$11%</f>
        <v>2.2942857142857145</v>
      </c>
      <c r="K11" s="63">
        <f>SourcedData!Q3/$C$11%</f>
        <v>2.2554285714285713</v>
      </c>
      <c r="L11" s="63">
        <f>SourcedData!R3/$C$11%</f>
        <v>2.7210000000000001</v>
      </c>
      <c r="M11" s="63">
        <f>SourcedData!S3/$C$11%</f>
        <v>2.6392857142857142</v>
      </c>
      <c r="N11" s="63">
        <f>SourcedData!T3/$C$11%</f>
        <v>2.5947142857142858</v>
      </c>
      <c r="O11" s="63">
        <f>SourcedData!U3/$C$11%</f>
        <v>2.9632857142857145</v>
      </c>
      <c r="P11" s="63">
        <f>SourcedData!V3/$C$11%</f>
        <v>3.2272857142857148</v>
      </c>
      <c r="Q11" s="63">
        <f>SourcedData!W3/$C$11%</f>
        <v>2.5621428571428573</v>
      </c>
      <c r="R11" s="63">
        <f>SourcedData!X3/$C$11%</f>
        <v>3.3618571428571431</v>
      </c>
      <c r="S11" s="63">
        <f>SourcedData!Y3/$C$11%</f>
        <v>3.2625714285714285</v>
      </c>
      <c r="T11" s="63">
        <f>SourcedData!Z3/$C$11%</f>
        <v>2.5142857142857147</v>
      </c>
      <c r="U11" s="63">
        <f>SourcedData!AA3/$C$11%</f>
        <v>3.1505714285714288</v>
      </c>
      <c r="V11" s="63">
        <f>SourcedData!AB3/$C$11%</f>
        <v>2.339</v>
      </c>
      <c r="W11" s="63">
        <f>SourcedData!AC3/$C$11%</f>
        <v>1.7574285714285716</v>
      </c>
      <c r="X11" s="59">
        <f t="shared" ref="X11:BC11" si="2">X93+X115</f>
        <v>2.4372970317046514</v>
      </c>
      <c r="Y11" s="59">
        <f t="shared" si="2"/>
        <v>2.0626629322172962</v>
      </c>
      <c r="Z11" s="59">
        <f t="shared" si="2"/>
        <v>2.4239043057512681</v>
      </c>
      <c r="AA11" s="59">
        <f t="shared" si="2"/>
        <v>2.3195685758557341</v>
      </c>
      <c r="AB11" s="59">
        <f t="shared" si="2"/>
        <v>1.997949445926356</v>
      </c>
      <c r="AC11" s="59">
        <f t="shared" si="2"/>
        <v>1.90015599977042</v>
      </c>
      <c r="AD11" s="59">
        <f t="shared" si="2"/>
        <v>2.2370618114601371</v>
      </c>
      <c r="AE11" s="59">
        <f t="shared" si="2"/>
        <v>1.9654758830767074</v>
      </c>
      <c r="AF11" s="59">
        <f t="shared" si="2"/>
        <v>1.7297387019813881</v>
      </c>
      <c r="AG11" s="59">
        <f t="shared" si="2"/>
        <v>2.4426382243573164</v>
      </c>
      <c r="AH11" s="59">
        <f t="shared" si="2"/>
        <v>2.4248162160176907</v>
      </c>
      <c r="AI11" s="59">
        <f t="shared" si="2"/>
        <v>1.882432612810653</v>
      </c>
      <c r="AJ11" s="59">
        <f t="shared" si="2"/>
        <v>2.0252929753036955</v>
      </c>
      <c r="AK11" s="59">
        <f t="shared" si="2"/>
        <v>1.7646648364078472</v>
      </c>
      <c r="AL11" s="59">
        <f t="shared" si="2"/>
        <v>1.9361088202333863</v>
      </c>
      <c r="AM11" s="59">
        <f t="shared" si="2"/>
        <v>2.4528216688228222</v>
      </c>
      <c r="AN11" s="59">
        <f t="shared" si="2"/>
        <v>1.9473287542616964</v>
      </c>
      <c r="AO11" s="59">
        <f t="shared" si="2"/>
        <v>2.2381206117217269</v>
      </c>
      <c r="AP11" s="59">
        <f t="shared" si="2"/>
        <v>2.1591566435387786</v>
      </c>
      <c r="AQ11" s="59">
        <f t="shared" si="2"/>
        <v>2.2552777915464302</v>
      </c>
      <c r="AR11" s="59">
        <f t="shared" si="2"/>
        <v>1.1272866769121015</v>
      </c>
      <c r="AS11" s="59">
        <f t="shared" si="2"/>
        <v>0.80839738397691396</v>
      </c>
      <c r="AT11" s="59">
        <f t="shared" si="2"/>
        <v>1.6465451586853823</v>
      </c>
      <c r="AU11" s="59">
        <f t="shared" si="2"/>
        <v>1.4742715306552514</v>
      </c>
      <c r="AV11" s="59">
        <f t="shared" si="2"/>
        <v>1.095378582930755</v>
      </c>
      <c r="AW11" s="59">
        <f t="shared" si="2"/>
        <v>1.2711958140691004</v>
      </c>
      <c r="AX11" s="59">
        <f t="shared" si="2"/>
        <v>1.9035926764581883</v>
      </c>
      <c r="AY11" s="59">
        <f t="shared" si="2"/>
        <v>1.689613565692915</v>
      </c>
      <c r="AZ11" s="59">
        <f t="shared" si="2"/>
        <v>1.4115770141252988</v>
      </c>
      <c r="BA11" s="59">
        <f t="shared" si="2"/>
        <v>0.93319059451631214</v>
      </c>
      <c r="BB11" s="59">
        <f t="shared" si="2"/>
        <v>1.535603122912814</v>
      </c>
      <c r="BC11" s="59">
        <f t="shared" si="2"/>
        <v>1.5737650025397418</v>
      </c>
      <c r="BD11" s="59"/>
      <c r="BE11" s="59"/>
      <c r="BF11" s="59"/>
      <c r="BG11" s="59"/>
      <c r="BH11" s="1"/>
      <c r="BI11" s="2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7">
        <f>SourcedData!CB3</f>
        <v>6.0224000000000002</v>
      </c>
      <c r="BY11" s="7"/>
      <c r="BZ11" s="7"/>
      <c r="CA11" s="7"/>
      <c r="CB11" s="7"/>
      <c r="CC11" s="7"/>
      <c r="CE11" s="59">
        <f t="shared" si="0"/>
        <v>8.603428571428573</v>
      </c>
      <c r="CF11" s="59">
        <f t="shared" si="1"/>
        <v>8.6591428571428573</v>
      </c>
      <c r="CG11" s="59">
        <f t="shared" si="1"/>
        <v>10.918285714285714</v>
      </c>
      <c r="CH11" s="59">
        <f t="shared" si="1"/>
        <v>12.413857142857143</v>
      </c>
      <c r="CI11" s="59">
        <f t="shared" si="1"/>
        <v>9.7612857142857141</v>
      </c>
      <c r="CJ11" s="59">
        <f t="shared" ref="CJ11:CQ12" si="3">SUMIF($D$7:$BH$7,CJ$8,$D11:$BH11)</f>
        <v>9.2434328455289503</v>
      </c>
      <c r="CK11" s="59">
        <f t="shared" si="3"/>
        <v>8.1006431402336219</v>
      </c>
      <c r="CL11" s="59">
        <f t="shared" si="3"/>
        <v>8.4796257551670475</v>
      </c>
      <c r="CM11" s="59">
        <f t="shared" si="3"/>
        <v>8.1788883007677509</v>
      </c>
      <c r="CN11" s="59">
        <f t="shared" si="3"/>
        <v>8.599883801068632</v>
      </c>
      <c r="CO11" s="59">
        <f t="shared" si="3"/>
        <v>5.0565007502296488</v>
      </c>
      <c r="CP11" s="59">
        <f t="shared" si="3"/>
        <v>5.9597806391509591</v>
      </c>
      <c r="CQ11" s="59">
        <f t="shared" si="3"/>
        <v>5.4541357340941667</v>
      </c>
      <c r="CR11" s="58"/>
      <c r="CS11" t="s">
        <v>94</v>
      </c>
      <c r="CT11" s="1"/>
      <c r="CU11" s="4" t="s">
        <v>92</v>
      </c>
      <c r="CV11" s="1"/>
      <c r="CW11" s="1"/>
      <c r="CX11" s="17"/>
      <c r="CY11" s="1"/>
      <c r="CZ11" s="1"/>
      <c r="DA11" s="1"/>
      <c r="DL11" s="1"/>
      <c r="DM11" s="1"/>
      <c r="DN11" s="1"/>
      <c r="DO11" s="1"/>
      <c r="DP11" s="4"/>
      <c r="DQ11" s="4" t="s">
        <v>88</v>
      </c>
      <c r="DR11" s="4" t="s">
        <v>88</v>
      </c>
      <c r="DS11" s="4" t="s">
        <v>88</v>
      </c>
      <c r="DT11" s="4" t="s">
        <v>88</v>
      </c>
      <c r="DU11" s="4" t="s">
        <v>89</v>
      </c>
      <c r="DV11" s="4" t="s">
        <v>89</v>
      </c>
      <c r="DW11" s="4" t="s">
        <v>89</v>
      </c>
      <c r="DX11" s="4" t="s">
        <v>89</v>
      </c>
      <c r="DY11" s="4" t="s">
        <v>90</v>
      </c>
      <c r="DZ11" s="4" t="s">
        <v>90</v>
      </c>
      <c r="EA11" s="4" t="s">
        <v>90</v>
      </c>
      <c r="EB11" s="4" t="s">
        <v>90</v>
      </c>
      <c r="EC11" s="4" t="s">
        <v>91</v>
      </c>
      <c r="ED11" s="4" t="s">
        <v>91</v>
      </c>
      <c r="EE11" s="4" t="s">
        <v>91</v>
      </c>
      <c r="EF11" s="4" t="s">
        <v>91</v>
      </c>
      <c r="EG11" s="4" t="s">
        <v>95</v>
      </c>
      <c r="EH11" s="4" t="s">
        <v>95</v>
      </c>
      <c r="EI11" s="4" t="s">
        <v>95</v>
      </c>
      <c r="EJ11" s="4" t="s">
        <v>95</v>
      </c>
      <c r="EK11" s="4" t="s">
        <v>96</v>
      </c>
      <c r="EL11" s="4" t="s">
        <v>96</v>
      </c>
      <c r="EM11" s="4" t="s">
        <v>96</v>
      </c>
      <c r="EN11" s="4" t="s">
        <v>96</v>
      </c>
      <c r="EO11" s="4" t="s">
        <v>97</v>
      </c>
      <c r="EP11" s="4" t="s">
        <v>97</v>
      </c>
      <c r="EQ11" s="4" t="s">
        <v>97</v>
      </c>
      <c r="ER11" s="4" t="s">
        <v>97</v>
      </c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 t="s">
        <v>92</v>
      </c>
    </row>
    <row r="12" spans="1:182" x14ac:dyDescent="0.2">
      <c r="A12" t="s">
        <v>98</v>
      </c>
      <c r="B12" t="s">
        <v>85</v>
      </c>
      <c r="C12" s="22">
        <v>51</v>
      </c>
      <c r="D12" s="1"/>
      <c r="E12" s="1"/>
      <c r="F12" s="1"/>
      <c r="G12" s="63"/>
      <c r="H12" s="63">
        <f>SourcedData!N4/$C$12%</f>
        <v>1.4756862745098041</v>
      </c>
      <c r="I12" s="63">
        <f>SourcedData!O4/$C$12%</f>
        <v>2.1119607843137254</v>
      </c>
      <c r="J12" s="63">
        <f>SourcedData!P4/$C$12%</f>
        <v>1.9476470588235293</v>
      </c>
      <c r="K12" s="63">
        <f>SourcedData!Q4/$C$12%</f>
        <v>2.2798039215686274</v>
      </c>
      <c r="L12" s="63">
        <f>SourcedData!R4/$C$12%</f>
        <v>2.0054901960784313</v>
      </c>
      <c r="M12" s="63">
        <f>SourcedData!S4/$C$12%</f>
        <v>2.1592156862745098</v>
      </c>
      <c r="N12" s="63">
        <f>SourcedData!T4/$C$12%</f>
        <v>2.0419607843137255</v>
      </c>
      <c r="O12" s="63">
        <f>SourcedData!U4/$C$12%</f>
        <v>2.1074509803921568</v>
      </c>
      <c r="P12" s="63">
        <f>SourcedData!V4/$C$12%</f>
        <v>1.3015686274509803</v>
      </c>
      <c r="Q12" s="63">
        <f>SourcedData!W4/$C$12%</f>
        <v>2.6970588235294115</v>
      </c>
      <c r="R12" s="63">
        <f>SourcedData!X4/$C$12%</f>
        <v>2.4498039215686274</v>
      </c>
      <c r="S12" s="63">
        <f>SourcedData!Y4/$C$12%</f>
        <v>2.0113725490196077</v>
      </c>
      <c r="T12" s="63">
        <f>SourcedData!Z4/$C$12%</f>
        <v>1.972549019607843</v>
      </c>
      <c r="U12" s="63">
        <f>SourcedData!AA4/$C$12%</f>
        <v>2.2427450980392156</v>
      </c>
      <c r="V12" s="63">
        <f>SourcedData!AB4/$C$12%</f>
        <v>2.3252941176470587</v>
      </c>
      <c r="W12" s="63">
        <f>SourcedData!AC4/$C$12%</f>
        <v>2.4960784313725486</v>
      </c>
      <c r="X12" s="59">
        <f>SourcedData!AD4/$C$12%</f>
        <v>2.1413725490196081</v>
      </c>
      <c r="Y12" s="59">
        <f>SourcedData!AE4/$C$12%</f>
        <v>2.0525490196078429</v>
      </c>
      <c r="Z12" s="59">
        <f>SourcedData!AF4/$C$12%</f>
        <v>1.9858823529411762</v>
      </c>
      <c r="AA12" s="59">
        <f>SourcedData!AG4/$C$12%</f>
        <v>1.2362745098039214</v>
      </c>
      <c r="AB12" s="59">
        <f t="shared" ref="AB12:BC12" si="4">AB86+AB113</f>
        <v>1.2725490196078431</v>
      </c>
      <c r="AC12" s="59">
        <f t="shared" si="4"/>
        <v>1.7794117647058822</v>
      </c>
      <c r="AD12" s="59">
        <f t="shared" si="4"/>
        <v>1.6400000000000001</v>
      </c>
      <c r="AE12" s="59">
        <f t="shared" si="4"/>
        <v>1.9345098039215687</v>
      </c>
      <c r="AF12" s="59">
        <f t="shared" si="4"/>
        <v>1.7580392156862743</v>
      </c>
      <c r="AG12" s="59">
        <f t="shared" si="4"/>
        <v>1.8023529411764705</v>
      </c>
      <c r="AH12" s="59">
        <f t="shared" si="4"/>
        <v>2.0125490196078433</v>
      </c>
      <c r="AI12" s="59">
        <f t="shared" si="4"/>
        <v>2.0890196078431371</v>
      </c>
      <c r="AJ12" s="59">
        <f t="shared" si="4"/>
        <v>1.9692156862745096</v>
      </c>
      <c r="AK12" s="59">
        <f t="shared" si="4"/>
        <v>1.9184313725490196</v>
      </c>
      <c r="AL12" s="59">
        <f t="shared" si="4"/>
        <v>1.996078431372549</v>
      </c>
      <c r="AM12" s="59">
        <f t="shared" si="4"/>
        <v>1.594313725490196</v>
      </c>
      <c r="AN12" s="59">
        <f t="shared" si="4"/>
        <v>1.6346202048309988</v>
      </c>
      <c r="AO12" s="59">
        <f t="shared" si="4"/>
        <v>1.8072549019607842</v>
      </c>
      <c r="AP12" s="59">
        <f t="shared" si="4"/>
        <v>1.8025490196078431</v>
      </c>
      <c r="AQ12" s="59">
        <f t="shared" si="4"/>
        <v>1.672549019607843</v>
      </c>
      <c r="AR12" s="59">
        <f t="shared" si="4"/>
        <v>1.3723529411764706</v>
      </c>
      <c r="AS12" s="59">
        <f t="shared" si="4"/>
        <v>1.0223529411764707</v>
      </c>
      <c r="AT12" s="59">
        <f t="shared" si="4"/>
        <v>2.0535294117647056</v>
      </c>
      <c r="AU12" s="59">
        <f t="shared" si="4"/>
        <v>1.7445098039215687</v>
      </c>
      <c r="AV12" s="59">
        <f t="shared" si="4"/>
        <v>1.3696078431372549</v>
      </c>
      <c r="AW12" s="59">
        <f t="shared" si="4"/>
        <v>1.8294117647058823</v>
      </c>
      <c r="AX12" s="59">
        <f t="shared" si="4"/>
        <v>1.6490196078431372</v>
      </c>
      <c r="AY12" s="59">
        <f t="shared" si="4"/>
        <v>2.1921568627450982</v>
      </c>
      <c r="AZ12" s="59">
        <f t="shared" si="4"/>
        <v>1.3549019607843138</v>
      </c>
      <c r="BA12" s="59">
        <f t="shared" si="4"/>
        <v>1.2686274509803921</v>
      </c>
      <c r="BB12" s="59">
        <f t="shared" si="4"/>
        <v>2.1196078431372549</v>
      </c>
      <c r="BC12" s="59">
        <f t="shared" si="4"/>
        <v>2.1568627450980391</v>
      </c>
      <c r="BD12" s="59"/>
      <c r="BE12" s="59"/>
      <c r="BF12" s="59"/>
      <c r="BG12" s="59"/>
      <c r="BH12" s="1"/>
      <c r="BI12" s="2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7">
        <f>SourcedData!CB4</f>
        <v>4.5934999999999997</v>
      </c>
      <c r="BY12" s="7"/>
      <c r="BZ12" s="7"/>
      <c r="CA12" s="7"/>
      <c r="CB12" s="7"/>
      <c r="CC12" s="7"/>
      <c r="CE12" s="59">
        <f t="shared" si="0"/>
        <v>9.0068627450980383</v>
      </c>
      <c r="CF12" s="59">
        <f t="shared" si="1"/>
        <v>7.8150980392156857</v>
      </c>
      <c r="CG12" s="59">
        <f t="shared" si="1"/>
        <v>8.3141176470588221</v>
      </c>
      <c r="CH12" s="59">
        <f t="shared" si="1"/>
        <v>8.4598039215686267</v>
      </c>
      <c r="CI12" s="59">
        <f t="shared" si="1"/>
        <v>9.0366666666666653</v>
      </c>
      <c r="CJ12" s="59">
        <f t="shared" si="3"/>
        <v>7.4160784313725481</v>
      </c>
      <c r="CK12" s="59">
        <f t="shared" si="3"/>
        <v>6.6264705882352937</v>
      </c>
      <c r="CL12" s="59">
        <f t="shared" si="3"/>
        <v>7.6619607843137247</v>
      </c>
      <c r="CM12" s="59">
        <f t="shared" si="3"/>
        <v>7.4780392156862749</v>
      </c>
      <c r="CN12" s="59">
        <f t="shared" si="3"/>
        <v>6.9169731460074697</v>
      </c>
      <c r="CO12" s="59">
        <f t="shared" si="3"/>
        <v>6.1927450980392145</v>
      </c>
      <c r="CP12" s="59">
        <f t="shared" si="3"/>
        <v>7.0401960784313724</v>
      </c>
      <c r="CQ12" s="59">
        <f t="shared" si="3"/>
        <v>6.9</v>
      </c>
      <c r="CR12" s="58"/>
      <c r="CS12" t="s">
        <v>94</v>
      </c>
      <c r="CT12" s="1"/>
      <c r="CU12" s="4" t="s">
        <v>92</v>
      </c>
      <c r="CV12" s="1"/>
      <c r="CW12" s="1"/>
      <c r="CX12" s="17"/>
      <c r="CY12" s="1"/>
      <c r="CZ12" s="1"/>
      <c r="DA12" s="1"/>
      <c r="DL12" s="1"/>
      <c r="DM12" s="1"/>
      <c r="DN12" s="1"/>
      <c r="DO12" s="1"/>
      <c r="DP12" s="4"/>
      <c r="DQ12" s="4" t="s">
        <v>88</v>
      </c>
      <c r="DR12" s="4" t="s">
        <v>88</v>
      </c>
      <c r="DS12" s="4" t="s">
        <v>88</v>
      </c>
      <c r="DT12" s="4" t="s">
        <v>88</v>
      </c>
      <c r="DU12" s="4" t="s">
        <v>89</v>
      </c>
      <c r="DV12" s="4" t="s">
        <v>89</v>
      </c>
      <c r="DW12" s="4" t="s">
        <v>89</v>
      </c>
      <c r="DX12" s="4" t="s">
        <v>89</v>
      </c>
      <c r="DY12" s="4" t="s">
        <v>90</v>
      </c>
      <c r="DZ12" s="4" t="s">
        <v>90</v>
      </c>
      <c r="EA12" s="4" t="s">
        <v>90</v>
      </c>
      <c r="EB12" s="4" t="s">
        <v>90</v>
      </c>
      <c r="EC12" s="4" t="s">
        <v>91</v>
      </c>
      <c r="ED12" s="4" t="s">
        <v>91</v>
      </c>
      <c r="EE12" s="4" t="s">
        <v>91</v>
      </c>
      <c r="EF12" s="4" t="s">
        <v>91</v>
      </c>
      <c r="EG12" s="4" t="s">
        <v>95</v>
      </c>
      <c r="EH12" s="4" t="s">
        <v>95</v>
      </c>
      <c r="EI12" s="4" t="s">
        <v>95</v>
      </c>
      <c r="EJ12" s="4" t="s">
        <v>95</v>
      </c>
      <c r="EK12" s="4" t="s">
        <v>96</v>
      </c>
      <c r="EL12" s="4" t="s">
        <v>96</v>
      </c>
      <c r="EM12" s="4" t="s">
        <v>96</v>
      </c>
      <c r="EN12" s="4" t="s">
        <v>96</v>
      </c>
      <c r="EO12" s="4" t="s">
        <v>97</v>
      </c>
      <c r="EP12" s="4" t="s">
        <v>97</v>
      </c>
      <c r="EQ12" s="4" t="s">
        <v>97</v>
      </c>
      <c r="ER12" s="4" t="s">
        <v>97</v>
      </c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 t="s">
        <v>92</v>
      </c>
    </row>
    <row r="13" spans="1:182" x14ac:dyDescent="0.2">
      <c r="A13" t="s">
        <v>99</v>
      </c>
      <c r="B13" t="s">
        <v>85</v>
      </c>
      <c r="C13" s="22">
        <v>88</v>
      </c>
      <c r="D13" s="1"/>
      <c r="E13" s="1"/>
      <c r="F13" s="1"/>
      <c r="G13" s="63"/>
      <c r="H13" s="63">
        <f>SourcedData!N5/$C$13%</f>
        <v>1.0152272727272726</v>
      </c>
      <c r="I13" s="63">
        <f>SourcedData!O5/$C$13%</f>
        <v>0.89204545454545459</v>
      </c>
      <c r="J13" s="63">
        <f>SourcedData!P5/$C$13%</f>
        <v>1.1998863636363637</v>
      </c>
      <c r="K13" s="63">
        <f>SourcedData!Q5/$C$13%</f>
        <v>1.1095454545454546</v>
      </c>
      <c r="L13" s="63">
        <f>SourcedData!R5/$C$13%</f>
        <v>0.74897727272727277</v>
      </c>
      <c r="M13" s="63">
        <f>SourcedData!S5/$C$13%</f>
        <v>0.80511363636363642</v>
      </c>
      <c r="N13" s="63">
        <f>SourcedData!T5/$C$13%</f>
        <v>0.92840909090909085</v>
      </c>
      <c r="O13" s="63">
        <f>SourcedData!U5/$C$13%</f>
        <v>1.0456818181818182</v>
      </c>
      <c r="P13" s="63">
        <f>SourcedData!V5/$C$13%</f>
        <v>0.80397727272727271</v>
      </c>
      <c r="Q13" s="63">
        <f>SourcedData!W5/$C$13%</f>
        <v>0.52590909090909088</v>
      </c>
      <c r="R13" s="63">
        <f>SourcedData!X5/$C$13%</f>
        <v>0.68227272727272736</v>
      </c>
      <c r="S13" s="63">
        <f>SourcedData!Y5/$C$13%</f>
        <v>0.39920454545454548</v>
      </c>
      <c r="T13" s="63">
        <f>SourcedData!Z5/$C$13%</f>
        <v>0.39761363636363634</v>
      </c>
      <c r="U13" s="63">
        <f>SourcedData!AA5/$C$13%</f>
        <v>0.47522727272727272</v>
      </c>
      <c r="V13" s="63">
        <f>SourcedData!AB5/$C$13%</f>
        <v>0.3603409090909091</v>
      </c>
      <c r="W13" s="63">
        <f>SourcedData!AC5/$C$13%</f>
        <v>9.3522727272727271E-2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1"/>
      <c r="BI13" s="22"/>
      <c r="BJ13" s="1"/>
      <c r="BK13" s="1"/>
      <c r="BL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7">
        <f>SourcedData!CB5</f>
        <v>3.6633</v>
      </c>
      <c r="BY13" s="7"/>
      <c r="BZ13" s="7"/>
      <c r="CA13" s="7"/>
      <c r="CB13" s="7"/>
      <c r="CC13" s="7"/>
      <c r="CE13" s="59">
        <f t="shared" si="0"/>
        <v>4.1628409090909093</v>
      </c>
      <c r="CF13" s="59">
        <f t="shared" si="1"/>
        <v>4.2167045454545455</v>
      </c>
      <c r="CG13" s="59">
        <f t="shared" si="1"/>
        <v>3.5281818181818183</v>
      </c>
      <c r="CH13" s="59">
        <f t="shared" si="1"/>
        <v>2.4113636363636366</v>
      </c>
      <c r="CI13" s="59">
        <f t="shared" si="1"/>
        <v>1.3267045454545454</v>
      </c>
      <c r="CJ13" s="64"/>
      <c r="CK13" s="64"/>
      <c r="CL13" s="64"/>
      <c r="CM13" s="64"/>
      <c r="CN13" s="64"/>
      <c r="CO13" s="93"/>
      <c r="CP13" s="93"/>
      <c r="CQ13" s="86"/>
      <c r="CR13" s="86"/>
      <c r="CS13" t="s">
        <v>100</v>
      </c>
      <c r="CT13" s="1"/>
      <c r="CU13" s="4" t="s">
        <v>92</v>
      </c>
      <c r="CV13" s="1"/>
      <c r="CW13" s="1"/>
      <c r="CX13" s="17"/>
      <c r="CY13" s="1"/>
      <c r="CZ13" s="1"/>
      <c r="DA13" s="1"/>
      <c r="DL13" s="1"/>
      <c r="DM13" s="1"/>
      <c r="DN13" s="1"/>
      <c r="DO13" s="1"/>
      <c r="DP13" s="4"/>
      <c r="DQ13" s="4" t="s">
        <v>88</v>
      </c>
      <c r="DR13" s="4" t="s">
        <v>88</v>
      </c>
      <c r="DS13" s="4" t="s">
        <v>88</v>
      </c>
      <c r="DT13" s="4" t="s">
        <v>88</v>
      </c>
      <c r="DU13" s="4" t="s">
        <v>89</v>
      </c>
      <c r="DV13" s="4" t="s">
        <v>89</v>
      </c>
      <c r="DW13" s="4" t="s">
        <v>89</v>
      </c>
      <c r="DX13" s="4" t="s">
        <v>89</v>
      </c>
      <c r="DY13" s="4" t="s">
        <v>90</v>
      </c>
      <c r="DZ13" s="4" t="s">
        <v>90</v>
      </c>
      <c r="EA13" s="4" t="s">
        <v>90</v>
      </c>
      <c r="EB13" s="4" t="s">
        <v>90</v>
      </c>
      <c r="EC13" s="4" t="s">
        <v>91</v>
      </c>
      <c r="ED13" s="4" t="s">
        <v>91</v>
      </c>
      <c r="EE13" s="4" t="s">
        <v>91</v>
      </c>
      <c r="EF13" s="4" t="s">
        <v>91</v>
      </c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 t="s">
        <v>92</v>
      </c>
    </row>
    <row r="14" spans="1:182" x14ac:dyDescent="0.2">
      <c r="A14" t="s">
        <v>101</v>
      </c>
      <c r="B14" t="s">
        <v>85</v>
      </c>
      <c r="C14" s="22">
        <v>70</v>
      </c>
      <c r="D14" s="1"/>
      <c r="E14" s="1"/>
      <c r="F14" s="1"/>
      <c r="G14" s="63"/>
      <c r="H14" s="63">
        <f>SourcedData!N6/$C$14%</f>
        <v>0.75428571428571434</v>
      </c>
      <c r="I14" s="63">
        <f>SourcedData!O6/$C$14%</f>
        <v>0.6795714285714286</v>
      </c>
      <c r="J14" s="63">
        <f>SourcedData!P6/$C$14%</f>
        <v>0.77285714285714291</v>
      </c>
      <c r="K14" s="63">
        <f>SourcedData!Q6/$C$14%</f>
        <v>0.60271428571428576</v>
      </c>
      <c r="L14" s="63">
        <f>SourcedData!R6/$C$14%</f>
        <v>0.61842857142857144</v>
      </c>
      <c r="M14" s="63">
        <f>SourcedData!S6/$C$14%</f>
        <v>0.67314285714285715</v>
      </c>
      <c r="N14" s="63">
        <f>SourcedData!T6/$C$14%</f>
        <v>0.78742857142857148</v>
      </c>
      <c r="O14" s="63">
        <f>SourcedData!U6/$C$14%</f>
        <v>0.82742857142857151</v>
      </c>
      <c r="P14" s="63">
        <f>SourcedData!V6/$C$14%</f>
        <v>0.68328571428571439</v>
      </c>
      <c r="Q14" s="63">
        <f>SourcedData!W6/$C$14%</f>
        <v>0.73028571428571432</v>
      </c>
      <c r="R14" s="63">
        <f>SourcedData!X6/$C$14%</f>
        <v>0.70685714285714296</v>
      </c>
      <c r="S14" s="63">
        <f>SourcedData!Y6/$C$14%</f>
        <v>0.53757142857142859</v>
      </c>
      <c r="T14" s="63">
        <f>SourcedData!Z6/$C$14%</f>
        <v>0.62071428571428577</v>
      </c>
      <c r="U14" s="63">
        <f>SourcedData!AA6/$C$14%</f>
        <v>0.8085714285714285</v>
      </c>
      <c r="V14" s="63">
        <f>SourcedData!AB6/$C$14%</f>
        <v>0.62700000000000011</v>
      </c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1"/>
      <c r="BI14" s="2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7">
        <f>SourcedData!CB6</f>
        <v>1.8959999999999999</v>
      </c>
      <c r="BY14" s="7"/>
      <c r="BZ14" s="7"/>
      <c r="CA14" s="7"/>
      <c r="CB14" s="7"/>
      <c r="CC14" s="7"/>
      <c r="CE14" s="59">
        <f t="shared" si="0"/>
        <v>2.7085714285714286</v>
      </c>
      <c r="CF14" s="59">
        <f t="shared" ref="CF14:CH16" si="5">SUMIF($H$7:$AA$7,CF$8,$H14:$AA14)</f>
        <v>2.8094285714285716</v>
      </c>
      <c r="CG14" s="59">
        <f t="shared" si="5"/>
        <v>2.9064285714285716</v>
      </c>
      <c r="CH14" s="59">
        <f t="shared" si="5"/>
        <v>2.6580000000000004</v>
      </c>
      <c r="CI14" s="64"/>
      <c r="CJ14" s="64"/>
      <c r="CK14" s="64"/>
      <c r="CL14" s="64"/>
      <c r="CM14" s="64"/>
      <c r="CN14" s="64"/>
      <c r="CO14" s="93"/>
      <c r="CP14" s="93"/>
      <c r="CQ14" s="86"/>
      <c r="CR14" s="86"/>
      <c r="CS14" t="s">
        <v>102</v>
      </c>
      <c r="CT14" s="1"/>
      <c r="CU14" s="4" t="s">
        <v>87</v>
      </c>
      <c r="CV14" s="1"/>
      <c r="CW14" s="1"/>
      <c r="CX14" s="17"/>
      <c r="CY14" s="1"/>
      <c r="CZ14" s="1"/>
      <c r="DA14" s="1"/>
      <c r="DL14" s="1"/>
      <c r="DM14" s="1"/>
      <c r="DN14" s="1"/>
      <c r="DO14" s="1"/>
      <c r="DP14" s="4"/>
      <c r="DQ14" s="4" t="s">
        <v>88</v>
      </c>
      <c r="DR14" s="4" t="s">
        <v>88</v>
      </c>
      <c r="DS14" s="4" t="s">
        <v>88</v>
      </c>
      <c r="DT14" s="4" t="s">
        <v>88</v>
      </c>
      <c r="DU14" s="4" t="s">
        <v>89</v>
      </c>
      <c r="DV14" s="4" t="s">
        <v>89</v>
      </c>
      <c r="DW14" s="4" t="s">
        <v>89</v>
      </c>
      <c r="DX14" s="4" t="s">
        <v>89</v>
      </c>
      <c r="DY14" s="4" t="s">
        <v>90</v>
      </c>
      <c r="DZ14" s="4" t="s">
        <v>90</v>
      </c>
      <c r="EA14" s="4" t="s">
        <v>90</v>
      </c>
      <c r="EB14" s="4" t="s">
        <v>90</v>
      </c>
      <c r="EC14" s="4" t="s">
        <v>91</v>
      </c>
      <c r="ED14" s="4" t="s">
        <v>91</v>
      </c>
      <c r="EE14" s="4" t="s">
        <v>91</v>
      </c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 t="s">
        <v>92</v>
      </c>
    </row>
    <row r="15" spans="1:182" x14ac:dyDescent="0.2">
      <c r="A15" t="s">
        <v>103</v>
      </c>
      <c r="B15" t="s">
        <v>85</v>
      </c>
      <c r="C15" s="22">
        <v>23.3</v>
      </c>
      <c r="D15" s="1"/>
      <c r="E15" s="1"/>
      <c r="F15" s="1"/>
      <c r="G15" s="63"/>
      <c r="H15" s="63">
        <f>SourcedData!N7/$C$15%</f>
        <v>2.0480686695278969</v>
      </c>
      <c r="I15" s="63">
        <f>SourcedData!O7/$C$15%</f>
        <v>2.618025751072961</v>
      </c>
      <c r="J15" s="63">
        <f>SourcedData!P7/$C$15%</f>
        <v>2.8901287553648065</v>
      </c>
      <c r="K15" s="63">
        <f>SourcedData!Q7/$C$15%</f>
        <v>3.2442060085836908</v>
      </c>
      <c r="L15" s="63">
        <f>SourcedData!R7/$C$15%</f>
        <v>2.907725321888412</v>
      </c>
      <c r="M15" s="63">
        <f>SourcedData!S7/$C$15%</f>
        <v>3.2459227467811154</v>
      </c>
      <c r="N15" s="63">
        <f>SourcedData!T7/$C$15%</f>
        <v>3.1450643776824032</v>
      </c>
      <c r="O15" s="63">
        <f>SourcedData!U7/$C$15%</f>
        <v>3.2493562231759654</v>
      </c>
      <c r="P15" s="63">
        <f>SourcedData!V7/$C$15%</f>
        <v>3.2785407725321889</v>
      </c>
      <c r="Q15" s="63">
        <f>SourcedData!W7/$C$15%</f>
        <v>3.2892703862660939</v>
      </c>
      <c r="R15" s="63">
        <f>SourcedData!X7/$C$15%</f>
        <v>3.4266094420600854</v>
      </c>
      <c r="S15" s="63">
        <f>SourcedData!Y7/$C$15%</f>
        <v>3.7454935622317596</v>
      </c>
      <c r="T15" s="63">
        <f>SourcedData!Z7/$C$15%</f>
        <v>3.2549356223175963</v>
      </c>
      <c r="U15" s="63">
        <f>SourcedData!AA7/$C$15%</f>
        <v>3.5261802575107293</v>
      </c>
      <c r="V15" s="63">
        <f>SourcedData!AB7/$C$15%</f>
        <v>3.5201716738197426</v>
      </c>
      <c r="W15" s="63">
        <f>SourcedData!AC7/$C$15%</f>
        <v>3.7858369098712443</v>
      </c>
      <c r="X15" s="63">
        <f>SourcedData!AD7/$C$15%</f>
        <v>3.0815450643776821</v>
      </c>
      <c r="Y15" s="63">
        <f>SourcedData!AE7/$C$15%</f>
        <v>3.6064377682403435</v>
      </c>
      <c r="Z15" s="63">
        <f>SourcedData!AF7/$C$15%</f>
        <v>3.5909871244635192</v>
      </c>
      <c r="AA15" s="63">
        <f>SourcedData!AG7/$C$15%</f>
        <v>3.6935622317596564</v>
      </c>
      <c r="AB15" s="59">
        <f t="shared" ref="AB15:BC15" si="6">AB97+AB118</f>
        <v>3.755364806866953</v>
      </c>
      <c r="AC15" s="59">
        <f t="shared" si="6"/>
        <v>3.6386266094420603</v>
      </c>
      <c r="AD15" s="59">
        <f t="shared" si="6"/>
        <v>3.6442060085836907</v>
      </c>
      <c r="AE15" s="59">
        <f t="shared" si="6"/>
        <v>3.4678111587982832</v>
      </c>
      <c r="AF15" s="59">
        <f t="shared" si="6"/>
        <v>3.2094420600858369</v>
      </c>
      <c r="AG15" s="59">
        <f t="shared" si="6"/>
        <v>3.1381974248927036</v>
      </c>
      <c r="AH15" s="59">
        <f t="shared" si="6"/>
        <v>3.7437768240343345</v>
      </c>
      <c r="AI15" s="59">
        <f t="shared" si="6"/>
        <v>3.7321888412017166</v>
      </c>
      <c r="AJ15" s="59">
        <f t="shared" si="6"/>
        <v>3.1562231759656649</v>
      </c>
      <c r="AK15" s="59">
        <f t="shared" si="6"/>
        <v>3.6051502145922747</v>
      </c>
      <c r="AL15" s="59">
        <f t="shared" si="6"/>
        <v>4.122317596566524</v>
      </c>
      <c r="AM15" s="59">
        <f t="shared" si="6"/>
        <v>3.8694381301591707</v>
      </c>
      <c r="AN15" s="59">
        <f t="shared" si="6"/>
        <v>3.3599866199706074</v>
      </c>
      <c r="AO15" s="59">
        <f t="shared" si="6"/>
        <v>3.6615958426859496</v>
      </c>
      <c r="AP15" s="59">
        <f t="shared" si="6"/>
        <v>3.7474248927038625</v>
      </c>
      <c r="AQ15" s="59">
        <f t="shared" si="6"/>
        <v>3.702918454935622</v>
      </c>
      <c r="AR15" s="59">
        <f t="shared" si="6"/>
        <v>3.5235193133047207</v>
      </c>
      <c r="AS15" s="59">
        <f t="shared" si="6"/>
        <v>3.4376394849785403</v>
      </c>
      <c r="AT15" s="59">
        <f t="shared" si="6"/>
        <v>3.7158798283261802</v>
      </c>
      <c r="AU15" s="59">
        <f t="shared" si="6"/>
        <v>3.5291845493562231</v>
      </c>
      <c r="AV15" s="59">
        <f t="shared" si="6"/>
        <v>3.272961373390558</v>
      </c>
      <c r="AW15" s="59">
        <f t="shared" si="6"/>
        <v>3.3315450643776821</v>
      </c>
      <c r="AX15" s="59">
        <f t="shared" si="6"/>
        <v>3.7864806866952785</v>
      </c>
      <c r="AY15" s="59">
        <f t="shared" si="6"/>
        <v>3.5718884120171674</v>
      </c>
      <c r="AZ15" s="59">
        <f t="shared" si="6"/>
        <v>3.6319742489270386</v>
      </c>
      <c r="BA15" s="59">
        <f t="shared" si="6"/>
        <v>3.7993562231759652</v>
      </c>
      <c r="BB15" s="59">
        <f t="shared" si="6"/>
        <v>3.6748927038626609</v>
      </c>
      <c r="BC15" s="59">
        <f t="shared" si="6"/>
        <v>1.5675965665236051</v>
      </c>
      <c r="BD15" s="59"/>
      <c r="BE15" s="59"/>
      <c r="BF15" s="59"/>
      <c r="BG15" s="59"/>
      <c r="BH15" s="1"/>
      <c r="BI15" s="22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7">
        <f>SourcedData!CB7</f>
        <v>2.0731999999999999</v>
      </c>
      <c r="BY15" s="7"/>
      <c r="BZ15" s="7"/>
      <c r="CA15" s="7"/>
      <c r="CB15" s="7"/>
      <c r="CC15" s="7"/>
      <c r="CE15" s="59">
        <f t="shared" si="0"/>
        <v>8.8978540772532178</v>
      </c>
      <c r="CF15" s="59">
        <f t="shared" si="5"/>
        <v>10.800429184549355</v>
      </c>
      <c r="CG15" s="59">
        <f t="shared" si="5"/>
        <v>12.548068669527897</v>
      </c>
      <c r="CH15" s="59">
        <f t="shared" si="5"/>
        <v>13.739914163090129</v>
      </c>
      <c r="CI15" s="59">
        <f>SUMIF($H$7:$AA$7,CI$8,$H15:$AA15)</f>
        <v>14.087124463519313</v>
      </c>
      <c r="CJ15" s="59">
        <f t="shared" ref="CJ15:CQ16" si="7">SUMIF($D$7:$BH$7,CJ$8,$D15:$BH15)</f>
        <v>13.972532188841202</v>
      </c>
      <c r="CK15" s="59">
        <f t="shared" si="7"/>
        <v>14.506008583690988</v>
      </c>
      <c r="CL15" s="59">
        <f t="shared" si="7"/>
        <v>13.823605150214592</v>
      </c>
      <c r="CM15" s="59">
        <f t="shared" si="7"/>
        <v>14.753129117283635</v>
      </c>
      <c r="CN15" s="59">
        <f t="shared" si="7"/>
        <v>14.471925810296041</v>
      </c>
      <c r="CO15" s="59">
        <f t="shared" si="7"/>
        <v>14.206223175965665</v>
      </c>
      <c r="CP15" s="59">
        <f t="shared" si="7"/>
        <v>13.962875536480684</v>
      </c>
      <c r="CQ15" s="59">
        <f t="shared" si="7"/>
        <v>12.67381974248927</v>
      </c>
      <c r="CR15" s="58"/>
      <c r="CS15" t="s">
        <v>94</v>
      </c>
      <c r="CT15" s="1"/>
      <c r="CU15" s="4" t="s">
        <v>92</v>
      </c>
      <c r="CV15" s="1"/>
      <c r="CW15" s="1"/>
      <c r="CX15" s="17"/>
      <c r="CY15" s="1"/>
      <c r="CZ15" s="1"/>
      <c r="DA15" s="1"/>
      <c r="DL15" s="1"/>
      <c r="DM15" s="1"/>
      <c r="DN15" s="1"/>
      <c r="DO15" s="1"/>
      <c r="DP15" s="4"/>
      <c r="DQ15" s="4" t="s">
        <v>88</v>
      </c>
      <c r="DR15" s="4" t="s">
        <v>88</v>
      </c>
      <c r="DS15" s="4" t="s">
        <v>88</v>
      </c>
      <c r="DT15" s="4" t="s">
        <v>88</v>
      </c>
      <c r="DU15" s="4" t="s">
        <v>89</v>
      </c>
      <c r="DV15" s="4" t="s">
        <v>89</v>
      </c>
      <c r="DW15" s="4" t="s">
        <v>89</v>
      </c>
      <c r="DX15" s="4" t="s">
        <v>89</v>
      </c>
      <c r="DY15" s="4" t="s">
        <v>90</v>
      </c>
      <c r="DZ15" s="4" t="s">
        <v>90</v>
      </c>
      <c r="EA15" s="4" t="s">
        <v>90</v>
      </c>
      <c r="EB15" s="4" t="s">
        <v>90</v>
      </c>
      <c r="EC15" s="4" t="s">
        <v>91</v>
      </c>
      <c r="ED15" s="4" t="s">
        <v>91</v>
      </c>
      <c r="EE15" s="4" t="s">
        <v>91</v>
      </c>
      <c r="EF15" s="4" t="s">
        <v>91</v>
      </c>
      <c r="EG15" s="4" t="s">
        <v>95</v>
      </c>
      <c r="EH15" s="4" t="s">
        <v>95</v>
      </c>
      <c r="EI15" s="4" t="s">
        <v>95</v>
      </c>
      <c r="EJ15" s="4" t="s">
        <v>95</v>
      </c>
      <c r="EK15" s="4" t="s">
        <v>96</v>
      </c>
      <c r="EL15" s="4" t="s">
        <v>96</v>
      </c>
      <c r="EM15" s="4" t="s">
        <v>96</v>
      </c>
      <c r="EN15" s="4" t="s">
        <v>96</v>
      </c>
      <c r="EO15" s="4" t="s">
        <v>97</v>
      </c>
      <c r="EP15" s="4" t="s">
        <v>97</v>
      </c>
      <c r="EQ15" s="4" t="s">
        <v>97</v>
      </c>
      <c r="ER15" s="4" t="s">
        <v>97</v>
      </c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 t="s">
        <v>92</v>
      </c>
    </row>
    <row r="16" spans="1:182" x14ac:dyDescent="0.2">
      <c r="A16" t="s">
        <v>104</v>
      </c>
      <c r="B16" t="s">
        <v>85</v>
      </c>
      <c r="C16" s="22">
        <v>88</v>
      </c>
      <c r="D16" s="1"/>
      <c r="E16" s="1"/>
      <c r="F16" s="1"/>
      <c r="G16" s="63"/>
      <c r="H16" s="63">
        <f>SourcedData!N8/$C$16%</f>
        <v>1.7043181818181818</v>
      </c>
      <c r="I16" s="63">
        <f>SourcedData!O8/$C$16%</f>
        <v>1.1947727272727271</v>
      </c>
      <c r="J16" s="63">
        <f>SourcedData!P8/$C$16%</f>
        <v>1.477840909090909</v>
      </c>
      <c r="K16" s="63">
        <f>SourcedData!Q8/$C$16%</f>
        <v>1.21</v>
      </c>
      <c r="L16" s="63">
        <f>SourcedData!R8/$C$16%</f>
        <v>1.925340909090909</v>
      </c>
      <c r="M16" s="63">
        <f>SourcedData!S8/$C$16%</f>
        <v>0.49386363636363634</v>
      </c>
      <c r="N16" s="63">
        <f>SourcedData!T8/$C$16%</f>
        <v>1.2067045454545455</v>
      </c>
      <c r="O16" s="63">
        <f>SourcedData!U8/$C$16%</f>
        <v>1.1679545454545455</v>
      </c>
      <c r="P16" s="63">
        <f>SourcedData!V8/$C$16%</f>
        <v>1.4745454545454546</v>
      </c>
      <c r="Q16" s="63">
        <f>SourcedData!W8/$C$16%</f>
        <v>1.5694318181818181</v>
      </c>
      <c r="R16" s="63">
        <f>SourcedData!X8/$C$16%</f>
        <v>1.1476136363636364</v>
      </c>
      <c r="S16" s="63">
        <f>SourcedData!Y8/$C$16%</f>
        <v>1.4013636363636364</v>
      </c>
      <c r="T16" s="63">
        <f>SourcedData!Z8/$C$16%</f>
        <v>0.93738636363636363</v>
      </c>
      <c r="U16" s="63">
        <f>SourcedData!AA8/$C$16%</f>
        <v>1.1539772727272728</v>
      </c>
      <c r="V16" s="63">
        <f>SourcedData!AB8/$C$16%</f>
        <v>1.4514772727272729</v>
      </c>
      <c r="W16" s="63">
        <f>SourcedData!AC8/$C$16%</f>
        <v>2.2140909090909089</v>
      </c>
      <c r="X16" s="63">
        <f>SourcedData!AD8/$C$16%</f>
        <v>1.6092045454545454</v>
      </c>
      <c r="Y16" s="63">
        <f>SourcedData!AE8/$C$16%</f>
        <v>0.78249999999999997</v>
      </c>
      <c r="Z16" s="63">
        <f>SourcedData!AF8/$C$16%</f>
        <v>1.4963636363636363</v>
      </c>
      <c r="AA16" s="63">
        <f>SourcedData!AG8/$C$16%</f>
        <v>2.2497727272727275</v>
      </c>
      <c r="AB16" s="63">
        <f>SourcedData!AH8/$C$16%</f>
        <v>2.2007954545454544</v>
      </c>
      <c r="AC16" s="63">
        <f>SourcedData!AI8/$C$16%</f>
        <v>1.2094318181818182</v>
      </c>
      <c r="AD16" s="63">
        <f>SourcedData!AJ8/$C$16%</f>
        <v>1.4497727272727272</v>
      </c>
      <c r="AE16" s="59">
        <f t="shared" ref="AE16:BC16" si="8">AE87</f>
        <v>2.8240909090909088</v>
      </c>
      <c r="AF16" s="59">
        <f t="shared" si="8"/>
        <v>0.27215909090909091</v>
      </c>
      <c r="AG16" s="59">
        <f t="shared" si="8"/>
        <v>1.8218181818181818</v>
      </c>
      <c r="AH16" s="59">
        <f t="shared" si="8"/>
        <v>2.2421590909090909</v>
      </c>
      <c r="AI16" s="59">
        <f t="shared" si="8"/>
        <v>2.6506818181818179</v>
      </c>
      <c r="AJ16" s="59">
        <f t="shared" si="8"/>
        <v>0.51227272727272721</v>
      </c>
      <c r="AK16" s="59">
        <f t="shared" si="8"/>
        <v>0.86568181818181822</v>
      </c>
      <c r="AL16" s="59">
        <f t="shared" si="8"/>
        <v>2.2823863636363639</v>
      </c>
      <c r="AM16" s="59">
        <f t="shared" si="8"/>
        <v>1.3740909090909093</v>
      </c>
      <c r="AN16" s="59">
        <f t="shared" si="8"/>
        <v>0.67624999999999991</v>
      </c>
      <c r="AO16" s="59">
        <f t="shared" si="8"/>
        <v>6.4318181818181816E-2</v>
      </c>
      <c r="AP16" s="59">
        <f t="shared" si="8"/>
        <v>1.4939772727272727</v>
      </c>
      <c r="AQ16" s="59">
        <f t="shared" si="8"/>
        <v>1.2321590909090909</v>
      </c>
      <c r="AR16" s="59">
        <f t="shared" si="8"/>
        <v>0.19636363636363638</v>
      </c>
      <c r="AS16" s="59">
        <f t="shared" si="8"/>
        <v>0.23829545454545453</v>
      </c>
      <c r="AT16" s="59">
        <f t="shared" si="8"/>
        <v>1.7305681818181817</v>
      </c>
      <c r="AU16" s="59">
        <f t="shared" si="8"/>
        <v>1.6920454545454546</v>
      </c>
      <c r="AV16" s="59">
        <f t="shared" si="8"/>
        <v>0.65454545454545454</v>
      </c>
      <c r="AW16" s="59">
        <f t="shared" si="8"/>
        <v>1.0772727272727272</v>
      </c>
      <c r="AX16" s="59">
        <f t="shared" si="8"/>
        <v>1.075</v>
      </c>
      <c r="AY16" s="59">
        <f t="shared" si="8"/>
        <v>0.75227272727272732</v>
      </c>
      <c r="AZ16" s="59">
        <f t="shared" si="8"/>
        <v>0.63750000000000007</v>
      </c>
      <c r="BA16" s="59">
        <f t="shared" si="8"/>
        <v>1.0488636363636363</v>
      </c>
      <c r="BB16" s="59">
        <f t="shared" si="8"/>
        <v>1.2693181818181818</v>
      </c>
      <c r="BC16" s="59">
        <f t="shared" si="8"/>
        <v>0.19999999999999998</v>
      </c>
      <c r="BD16" s="59"/>
      <c r="BE16" s="59"/>
      <c r="BF16" s="59"/>
      <c r="BG16" s="59"/>
      <c r="BH16" s="1"/>
      <c r="BI16" s="22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7">
        <f>SourcedData!CB8</f>
        <v>3.5455000000000001</v>
      </c>
      <c r="BY16" s="7"/>
      <c r="BZ16" s="7"/>
      <c r="CA16" s="7"/>
      <c r="CB16" s="7"/>
      <c r="CC16" s="7"/>
      <c r="CE16" s="59">
        <f t="shared" si="0"/>
        <v>4.028977272727273</v>
      </c>
      <c r="CF16" s="59">
        <f t="shared" si="5"/>
        <v>5.5869318181818182</v>
      </c>
      <c r="CG16" s="59">
        <f t="shared" si="5"/>
        <v>4.7938636363636364</v>
      </c>
      <c r="CH16" s="59">
        <f t="shared" si="5"/>
        <v>5.5929545454545453</v>
      </c>
      <c r="CI16" s="59">
        <f>SUMIF($H$7:$AA$7,CI$8,$H16:$AA16)</f>
        <v>5.7569318181818181</v>
      </c>
      <c r="CJ16" s="59">
        <f t="shared" si="7"/>
        <v>6.137840909090909</v>
      </c>
      <c r="CK16" s="59">
        <f t="shared" si="7"/>
        <v>7.6840909090909086</v>
      </c>
      <c r="CL16" s="59">
        <f t="shared" si="7"/>
        <v>6.9868181818181814</v>
      </c>
      <c r="CM16" s="59">
        <f t="shared" si="7"/>
        <v>5.0344318181818188</v>
      </c>
      <c r="CN16" s="59">
        <f t="shared" si="7"/>
        <v>3.4667045454545455</v>
      </c>
      <c r="CO16" s="59">
        <f t="shared" si="7"/>
        <v>3.8572727272727274</v>
      </c>
      <c r="CP16" s="59">
        <f t="shared" si="7"/>
        <v>3.5590909090909091</v>
      </c>
      <c r="CQ16" s="59">
        <f t="shared" si="7"/>
        <v>3.1556818181818187</v>
      </c>
      <c r="CR16" s="58"/>
      <c r="CS16" t="s">
        <v>94</v>
      </c>
      <c r="CT16" s="1"/>
      <c r="CU16" s="4" t="s">
        <v>87</v>
      </c>
      <c r="CV16" s="1"/>
      <c r="CW16" s="1"/>
      <c r="CX16" s="17"/>
      <c r="CY16" s="1"/>
      <c r="CZ16" s="1"/>
      <c r="DA16" s="1"/>
      <c r="DL16" s="1"/>
      <c r="DM16" s="1"/>
      <c r="DN16" s="1"/>
      <c r="DO16" s="1"/>
      <c r="DP16" s="4"/>
      <c r="DQ16" s="4" t="s">
        <v>88</v>
      </c>
      <c r="DR16" s="4" t="s">
        <v>88</v>
      </c>
      <c r="DS16" s="4" t="s">
        <v>88</v>
      </c>
      <c r="DT16" s="4" t="s">
        <v>88</v>
      </c>
      <c r="DU16" s="4" t="s">
        <v>89</v>
      </c>
      <c r="DV16" s="4" t="s">
        <v>89</v>
      </c>
      <c r="DW16" s="4" t="s">
        <v>89</v>
      </c>
      <c r="DX16" s="4" t="s">
        <v>89</v>
      </c>
      <c r="DY16" s="4" t="s">
        <v>90</v>
      </c>
      <c r="DZ16" s="4" t="s">
        <v>90</v>
      </c>
      <c r="EA16" s="4" t="s">
        <v>90</v>
      </c>
      <c r="EB16" s="4" t="s">
        <v>90</v>
      </c>
      <c r="EC16" s="4" t="s">
        <v>91</v>
      </c>
      <c r="ED16" s="4" t="s">
        <v>91</v>
      </c>
      <c r="EE16" s="4" t="s">
        <v>91</v>
      </c>
      <c r="EF16" s="4" t="s">
        <v>91</v>
      </c>
      <c r="EG16" s="4" t="s">
        <v>95</v>
      </c>
      <c r="EH16" s="4" t="s">
        <v>95</v>
      </c>
      <c r="EI16" s="4" t="s">
        <v>95</v>
      </c>
      <c r="EJ16" s="4" t="s">
        <v>95</v>
      </c>
      <c r="EK16" s="4" t="s">
        <v>96</v>
      </c>
      <c r="EL16" s="4" t="s">
        <v>96</v>
      </c>
      <c r="EM16" s="4" t="s">
        <v>96</v>
      </c>
      <c r="EN16" s="4" t="s">
        <v>96</v>
      </c>
      <c r="EO16" s="4" t="s">
        <v>97</v>
      </c>
      <c r="EP16" s="4" t="s">
        <v>97</v>
      </c>
      <c r="EQ16" s="4" t="s">
        <v>97</v>
      </c>
      <c r="ER16" s="4" t="s">
        <v>97</v>
      </c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 t="s">
        <v>92</v>
      </c>
    </row>
    <row r="17" spans="1:182" ht="13.5" customHeight="1" x14ac:dyDescent="0.2">
      <c r="A17" t="s">
        <v>105</v>
      </c>
      <c r="B17" t="s">
        <v>85</v>
      </c>
      <c r="C17" s="22">
        <v>100</v>
      </c>
      <c r="D17" s="1"/>
      <c r="E17" s="1"/>
      <c r="F17" s="1"/>
      <c r="G17" s="63"/>
      <c r="H17" s="63"/>
      <c r="I17" s="63"/>
      <c r="J17" s="63"/>
      <c r="K17" s="63"/>
      <c r="L17" s="63"/>
      <c r="M17" s="63"/>
      <c r="N17" s="63"/>
      <c r="O17" s="63"/>
      <c r="P17" s="63">
        <f>SourcedData!V9/$C$17%</f>
        <v>5.16E-2</v>
      </c>
      <c r="Q17" s="63">
        <f>SourcedData!W9/$C$17%</f>
        <v>0.12180000000000001</v>
      </c>
      <c r="R17" s="63">
        <f>SourcedData!X9/$C$17%</f>
        <v>0.14729999999999999</v>
      </c>
      <c r="S17" s="63">
        <f>SourcedData!Y9/$C$17%</f>
        <v>0.17910000000000001</v>
      </c>
      <c r="T17" s="63">
        <f>SourcedData!Z9/$C$17%</f>
        <v>0.20300000000000001</v>
      </c>
      <c r="U17" s="63">
        <f>SourcedData!AA9/$C$17%</f>
        <v>0.33119999999999999</v>
      </c>
      <c r="V17" s="63">
        <f>SourcedData!AB9/$C$17%</f>
        <v>0.68569999999999998</v>
      </c>
      <c r="W17" s="63">
        <f>SourcedData!AC9/$C$17%</f>
        <v>0.53910000000000002</v>
      </c>
      <c r="X17" s="63">
        <f>SourcedData!AD9/$C$17%</f>
        <v>0.70979999999999999</v>
      </c>
      <c r="Y17" s="63">
        <f>SourcedData!AE9/$C$17%</f>
        <v>0.18360000000000001</v>
      </c>
      <c r="Z17" s="63">
        <f>SourcedData!AF9/$C$17%</f>
        <v>1.0125</v>
      </c>
      <c r="AA17" s="63">
        <f>SourcedData!AG9/$C$17%</f>
        <v>0.1613</v>
      </c>
      <c r="AB17" s="63">
        <f>SourcedData!AH9</f>
        <v>0.8256</v>
      </c>
      <c r="AC17" s="63">
        <f>SourcedData!AI9</f>
        <v>1.3420000000000001</v>
      </c>
      <c r="AD17" s="63">
        <f>SourcedData!AJ9</f>
        <v>1.2398</v>
      </c>
      <c r="AE17" s="63">
        <f>SourcedData!AK9</f>
        <v>0.35610000000000003</v>
      </c>
      <c r="AF17" s="59">
        <f t="shared" ref="AF17:BC17" si="9">AF94</f>
        <v>1.3331999999999999</v>
      </c>
      <c r="AG17" s="59">
        <f t="shared" si="9"/>
        <v>1.0325</v>
      </c>
      <c r="AH17" s="59">
        <f t="shared" si="9"/>
        <v>1.3445</v>
      </c>
      <c r="AI17" s="59">
        <f t="shared" si="9"/>
        <v>1.0117</v>
      </c>
      <c r="AJ17" s="59">
        <f t="shared" si="9"/>
        <v>0.54090000000000005</v>
      </c>
      <c r="AK17" s="59">
        <f t="shared" si="9"/>
        <v>0.56089999999999995</v>
      </c>
      <c r="AL17" s="59">
        <f t="shared" si="9"/>
        <v>4.4999999999999997E-3</v>
      </c>
      <c r="AM17" s="59">
        <f t="shared" si="9"/>
        <v>0</v>
      </c>
      <c r="AN17" s="59">
        <f t="shared" si="9"/>
        <v>0</v>
      </c>
      <c r="AO17" s="59">
        <f t="shared" si="9"/>
        <v>0</v>
      </c>
      <c r="AP17" s="59">
        <f t="shared" si="9"/>
        <v>2.215909090909091E-2</v>
      </c>
      <c r="AQ17" s="59">
        <f t="shared" si="9"/>
        <v>5.9204545454545454E-2</v>
      </c>
      <c r="AR17" s="59">
        <f t="shared" si="9"/>
        <v>0.14227272727272727</v>
      </c>
      <c r="AS17" s="59">
        <f t="shared" si="9"/>
        <v>0.97306818181818178</v>
      </c>
      <c r="AT17" s="59">
        <f t="shared" si="9"/>
        <v>1.4515909090909092</v>
      </c>
      <c r="AU17" s="59">
        <f t="shared" si="9"/>
        <v>0.88363636363636355</v>
      </c>
      <c r="AV17" s="59">
        <f t="shared" si="9"/>
        <v>1.1090909090909091</v>
      </c>
      <c r="AW17" s="59">
        <f t="shared" si="9"/>
        <v>0.27272727272727271</v>
      </c>
      <c r="AX17" s="59">
        <f t="shared" si="9"/>
        <v>0.63636363636363646</v>
      </c>
      <c r="AY17" s="59">
        <f t="shared" si="9"/>
        <v>1.1602272727272727</v>
      </c>
      <c r="AZ17" s="59">
        <f t="shared" si="9"/>
        <v>1.0988636363636364</v>
      </c>
      <c r="BA17" s="59">
        <f t="shared" si="9"/>
        <v>1.3806818181818183</v>
      </c>
      <c r="BB17" s="59">
        <f t="shared" si="9"/>
        <v>0.21704545454545454</v>
      </c>
      <c r="BC17" s="59">
        <f t="shared" si="9"/>
        <v>0</v>
      </c>
      <c r="BD17" s="59"/>
      <c r="BE17" s="59"/>
      <c r="BF17" s="59"/>
      <c r="BG17" s="59"/>
      <c r="BH17" s="1"/>
      <c r="BI17" s="22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E17" s="63"/>
      <c r="CF17" s="63"/>
      <c r="CG17" s="63"/>
      <c r="CH17" s="59">
        <f>SUMIF($H$7:$AA$7,CH$8,$H17:$AA17)</f>
        <v>0.49980000000000002</v>
      </c>
      <c r="CI17" s="59">
        <f>SUMIF($H$7:$AA$7,CI$8,$H17:$AA17)</f>
        <v>1.7589999999999999</v>
      </c>
      <c r="CJ17" s="59">
        <f>SUMIF($D$7:$BH$7,CJ$8,$D17:$BH17)</f>
        <v>2.0671999999999997</v>
      </c>
      <c r="CK17" s="63">
        <f>SourcedData!CH9</f>
        <v>3.7635000000000001</v>
      </c>
      <c r="CL17" s="59">
        <f t="shared" ref="CL17:CQ17" si="10">SUMIF($D$7:$BH$7,CL$8,$D17:$BH17)</f>
        <v>4.7218999999999998</v>
      </c>
      <c r="CM17" s="59">
        <f t="shared" si="10"/>
        <v>1.1062999999999998</v>
      </c>
      <c r="CN17" s="59">
        <f t="shared" si="10"/>
        <v>8.136363636363636E-2</v>
      </c>
      <c r="CO17" s="59">
        <f t="shared" si="10"/>
        <v>3.4505681818181815</v>
      </c>
      <c r="CP17" s="59">
        <f t="shared" si="10"/>
        <v>3.1784090909090912</v>
      </c>
      <c r="CQ17" s="59">
        <f t="shared" si="10"/>
        <v>2.6965909090909088</v>
      </c>
      <c r="CR17" s="58"/>
      <c r="CS17" t="s">
        <v>106</v>
      </c>
      <c r="CT17" s="1"/>
      <c r="CU17" s="4" t="s">
        <v>87</v>
      </c>
      <c r="CV17" s="1"/>
      <c r="CW17" s="1"/>
      <c r="CX17" s="17"/>
      <c r="CY17" s="1"/>
      <c r="CZ17" s="1"/>
      <c r="DA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4" t="s">
        <v>90</v>
      </c>
      <c r="DZ17" s="4" t="s">
        <v>90</v>
      </c>
      <c r="EA17" s="4" t="s">
        <v>90</v>
      </c>
      <c r="EB17" s="4" t="s">
        <v>90</v>
      </c>
      <c r="EC17" s="4" t="s">
        <v>91</v>
      </c>
      <c r="ED17" s="4" t="s">
        <v>91</v>
      </c>
      <c r="EE17" s="4" t="s">
        <v>91</v>
      </c>
      <c r="EF17" s="4" t="s">
        <v>91</v>
      </c>
      <c r="EG17" s="4" t="s">
        <v>95</v>
      </c>
      <c r="EH17" s="4" t="s">
        <v>95</v>
      </c>
      <c r="EI17" s="4" t="s">
        <v>95</v>
      </c>
      <c r="EJ17" s="4" t="s">
        <v>95</v>
      </c>
      <c r="EK17" s="4" t="s">
        <v>96</v>
      </c>
      <c r="EL17" s="4" t="s">
        <v>96</v>
      </c>
      <c r="EM17" s="4" t="s">
        <v>96</v>
      </c>
      <c r="EN17" s="4" t="s">
        <v>96</v>
      </c>
      <c r="EO17" s="4" t="s">
        <v>97</v>
      </c>
      <c r="EP17" s="4" t="s">
        <v>97</v>
      </c>
      <c r="EQ17" s="4" t="s">
        <v>97</v>
      </c>
      <c r="ER17" s="4" t="s">
        <v>97</v>
      </c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T17" s="4" t="s">
        <v>107</v>
      </c>
    </row>
    <row r="18" spans="1:182" ht="13.5" customHeight="1" x14ac:dyDescent="0.2">
      <c r="C18" s="22"/>
      <c r="D18" s="1"/>
      <c r="E18" s="1"/>
      <c r="F18" s="1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1"/>
      <c r="BI18" s="22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E18" s="63"/>
      <c r="CF18" s="63"/>
      <c r="CG18" s="63"/>
      <c r="CH18" s="63"/>
      <c r="CI18" s="63"/>
      <c r="CJ18" s="63"/>
      <c r="CK18" s="63"/>
      <c r="CL18" s="64"/>
      <c r="CM18" s="64"/>
      <c r="CN18" s="64"/>
      <c r="CO18" s="93"/>
      <c r="CP18" s="93"/>
      <c r="CQ18" s="58"/>
      <c r="CR18" s="58"/>
      <c r="CT18" s="1"/>
      <c r="CU18" s="4"/>
      <c r="CV18" s="1"/>
      <c r="CW18" s="1"/>
      <c r="CX18" s="17"/>
      <c r="CY18" s="1"/>
      <c r="CZ18" s="1"/>
      <c r="DA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</row>
    <row r="19" spans="1:182" ht="13.5" customHeight="1" x14ac:dyDescent="0.2">
      <c r="A19" t="s">
        <v>108</v>
      </c>
      <c r="B19" t="s">
        <v>85</v>
      </c>
      <c r="C19" s="22"/>
      <c r="D19" s="1"/>
      <c r="E19" s="1"/>
      <c r="F19" s="1"/>
      <c r="G19" s="63">
        <f>SourcedData!M10</f>
        <v>1.6894</v>
      </c>
      <c r="H19" s="63">
        <f>SourcedData!N10</f>
        <v>1.4938</v>
      </c>
      <c r="I19" s="63">
        <f>SourcedData!O10</f>
        <v>1.5130999999999999</v>
      </c>
      <c r="J19" s="63">
        <f>SourcedData!P10</f>
        <v>1.6724000000000001</v>
      </c>
      <c r="K19" s="63">
        <f>SourcedData!Q10</f>
        <v>1.5847</v>
      </c>
      <c r="L19" s="63">
        <f>SourcedData!R10</f>
        <v>0.76929999999999998</v>
      </c>
      <c r="M19" s="63">
        <f>SourcedData!S10</f>
        <v>9.5839999999999996</v>
      </c>
      <c r="N19" s="63">
        <f>SourcedData!T10</f>
        <v>1.5746</v>
      </c>
      <c r="O19" s="63">
        <f>SourcedData!U10</f>
        <v>1.8715999999999999</v>
      </c>
      <c r="P19" s="63">
        <f>SourcedData!V10</f>
        <v>1.4332</v>
      </c>
      <c r="Q19" s="63">
        <f>SourcedData!W10</f>
        <v>1.3266</v>
      </c>
      <c r="R19" s="63">
        <f>SourcedData!X10</f>
        <v>1.3664000000000001</v>
      </c>
      <c r="S19" s="63">
        <f>SourcedData!Y10</f>
        <v>1.1543000000000001</v>
      </c>
      <c r="T19" s="63">
        <f>SourcedData!Z10</f>
        <v>1.0659000000000001</v>
      </c>
      <c r="U19" s="63">
        <f>SourcedData!AA10</f>
        <v>1.107</v>
      </c>
      <c r="V19" s="63">
        <f>SourcedData!AB10</f>
        <v>1.1127</v>
      </c>
      <c r="W19" s="63">
        <f>SourcedData!AC10</f>
        <v>0.67190000000000005</v>
      </c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1"/>
      <c r="BI19" s="22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93"/>
      <c r="CP19" s="93"/>
      <c r="CT19" s="1"/>
      <c r="CU19" s="4"/>
      <c r="CV19" s="1"/>
      <c r="CW19" s="1"/>
      <c r="CX19" s="17"/>
      <c r="CY19" s="1"/>
      <c r="CZ19" s="1"/>
      <c r="DA19" s="1"/>
      <c r="DL19" s="1"/>
      <c r="DM19" s="1"/>
      <c r="DN19" s="1"/>
      <c r="DO19" s="1"/>
      <c r="DP19" s="1"/>
      <c r="DQ19" s="4" t="s">
        <v>88</v>
      </c>
      <c r="DR19" s="4" t="s">
        <v>88</v>
      </c>
      <c r="DS19" s="4" t="s">
        <v>88</v>
      </c>
      <c r="DT19" s="4" t="s">
        <v>88</v>
      </c>
      <c r="DU19" s="4" t="s">
        <v>89</v>
      </c>
      <c r="DV19" s="4" t="s">
        <v>89</v>
      </c>
      <c r="DW19" s="4" t="s">
        <v>89</v>
      </c>
      <c r="DX19" s="4" t="s">
        <v>89</v>
      </c>
      <c r="DY19" s="4" t="s">
        <v>90</v>
      </c>
      <c r="DZ19" s="4" t="s">
        <v>90</v>
      </c>
      <c r="EA19" s="4" t="s">
        <v>90</v>
      </c>
      <c r="EB19" s="4" t="s">
        <v>90</v>
      </c>
      <c r="EC19" s="4" t="s">
        <v>91</v>
      </c>
      <c r="ED19" s="4" t="s">
        <v>91</v>
      </c>
      <c r="EE19" s="4" t="s">
        <v>91</v>
      </c>
      <c r="EF19" s="4" t="s">
        <v>91</v>
      </c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</row>
    <row r="20" spans="1:182" ht="13.5" customHeight="1" x14ac:dyDescent="0.2">
      <c r="A20" t="s">
        <v>109</v>
      </c>
      <c r="B20" t="s">
        <v>85</v>
      </c>
      <c r="C20" s="22"/>
      <c r="D20" s="7"/>
      <c r="E20" s="7"/>
      <c r="F20" s="7"/>
      <c r="G20" s="63">
        <f>SourcedData!M11</f>
        <v>2.0253000000000001</v>
      </c>
      <c r="H20" s="63">
        <f>SourcedData!N11</f>
        <v>1.073</v>
      </c>
      <c r="I20" s="63">
        <f>SourcedData!O11</f>
        <v>1.7253000000000001</v>
      </c>
      <c r="J20" s="63">
        <f>SourcedData!P11</f>
        <v>1.7523</v>
      </c>
      <c r="K20" s="63">
        <f>SourcedData!Q11</f>
        <v>1.6888000000000001</v>
      </c>
      <c r="L20" s="63">
        <f>SourcedData!R11</f>
        <v>1.2279</v>
      </c>
      <c r="M20" s="63">
        <f>SourcedData!S11</f>
        <v>1.8460000000000001</v>
      </c>
      <c r="N20" s="63">
        <f>SourcedData!T11</f>
        <v>2.0743999999999998</v>
      </c>
      <c r="O20" s="63">
        <f>SourcedData!U11</f>
        <v>1.9662999999999999</v>
      </c>
      <c r="P20" s="63">
        <f>SourcedData!V11</f>
        <v>1.6498999999999999</v>
      </c>
      <c r="Q20" s="63">
        <f>SourcedData!W11</f>
        <v>1.6224000000000001</v>
      </c>
      <c r="R20" s="63">
        <f>SourcedData!X11</f>
        <v>1.8005</v>
      </c>
      <c r="S20" s="63">
        <f>SourcedData!Y11</f>
        <v>1.9787999999999999</v>
      </c>
      <c r="T20" s="63">
        <f>SourcedData!Z11</f>
        <v>1.4928999999999999</v>
      </c>
      <c r="U20" s="63">
        <f>SourcedData!AA11</f>
        <v>1.7166999999999999</v>
      </c>
      <c r="V20" s="63">
        <f>SourcedData!AB11</f>
        <v>1.6819999999999999</v>
      </c>
      <c r="W20" s="63">
        <f>SourcedData!AC11</f>
        <v>0.66180000000000005</v>
      </c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1"/>
      <c r="BI20" s="22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E20" s="63"/>
      <c r="CF20" s="63"/>
      <c r="CG20" s="63"/>
      <c r="CH20" s="63"/>
      <c r="CI20" s="63"/>
      <c r="CJ20" s="63"/>
      <c r="CK20" s="63"/>
      <c r="CL20" s="64"/>
      <c r="CM20" s="64"/>
      <c r="CN20" s="64"/>
      <c r="CO20" s="93"/>
      <c r="CP20" s="93"/>
      <c r="CT20" s="1"/>
      <c r="CU20" s="4"/>
      <c r="CV20" s="1"/>
      <c r="CW20" s="1"/>
      <c r="CX20" s="17"/>
      <c r="CY20" s="1"/>
      <c r="CZ20" s="1"/>
      <c r="DA20" s="1"/>
      <c r="DL20" s="1"/>
      <c r="DM20" s="1"/>
      <c r="DN20" s="4"/>
      <c r="DO20" s="1"/>
      <c r="DP20" s="1"/>
      <c r="DQ20" s="4" t="s">
        <v>88</v>
      </c>
      <c r="DR20" s="4" t="s">
        <v>88</v>
      </c>
      <c r="DS20" s="4" t="s">
        <v>88</v>
      </c>
      <c r="DT20" s="4" t="s">
        <v>88</v>
      </c>
      <c r="DU20" s="4" t="s">
        <v>89</v>
      </c>
      <c r="DV20" s="4" t="s">
        <v>89</v>
      </c>
      <c r="DW20" s="4" t="s">
        <v>89</v>
      </c>
      <c r="DX20" s="4" t="s">
        <v>89</v>
      </c>
      <c r="DY20" s="4" t="s">
        <v>90</v>
      </c>
      <c r="DZ20" s="4" t="s">
        <v>90</v>
      </c>
      <c r="EA20" s="4" t="s">
        <v>90</v>
      </c>
      <c r="EB20" s="4" t="s">
        <v>90</v>
      </c>
      <c r="EC20" s="4" t="s">
        <v>91</v>
      </c>
      <c r="ED20" s="4" t="s">
        <v>91</v>
      </c>
      <c r="EE20" s="4" t="s">
        <v>91</v>
      </c>
      <c r="EF20" s="4" t="s">
        <v>91</v>
      </c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</row>
    <row r="21" spans="1:182" ht="13.5" customHeight="1" x14ac:dyDescent="0.2">
      <c r="A21" s="1" t="s">
        <v>110</v>
      </c>
      <c r="B21" t="s">
        <v>85</v>
      </c>
      <c r="C21" s="22"/>
      <c r="D21" s="7">
        <f>SourcedData!J12</f>
        <v>2.5706000000000002</v>
      </c>
      <c r="E21" s="7">
        <f>SourcedData!K12</f>
        <v>3.2863000000000002</v>
      </c>
      <c r="F21" s="7">
        <f>SourcedData!L12</f>
        <v>3.3988999999999998</v>
      </c>
      <c r="G21" s="65">
        <f t="shared" ref="G21:W21" si="11">SUM(G19:G20)</f>
        <v>3.7147000000000001</v>
      </c>
      <c r="H21" s="65">
        <f t="shared" si="11"/>
        <v>2.5667999999999997</v>
      </c>
      <c r="I21" s="65">
        <f t="shared" si="11"/>
        <v>3.2383999999999999</v>
      </c>
      <c r="J21" s="65">
        <f t="shared" si="11"/>
        <v>3.4247000000000001</v>
      </c>
      <c r="K21" s="65">
        <f t="shared" si="11"/>
        <v>3.2735000000000003</v>
      </c>
      <c r="L21" s="65">
        <f t="shared" si="11"/>
        <v>1.9971999999999999</v>
      </c>
      <c r="M21" s="65">
        <f t="shared" si="11"/>
        <v>11.43</v>
      </c>
      <c r="N21" s="65">
        <f t="shared" si="11"/>
        <v>3.649</v>
      </c>
      <c r="O21" s="65">
        <f t="shared" si="11"/>
        <v>3.8378999999999999</v>
      </c>
      <c r="P21" s="65">
        <f t="shared" si="11"/>
        <v>3.0831</v>
      </c>
      <c r="Q21" s="65">
        <f t="shared" si="11"/>
        <v>2.9489999999999998</v>
      </c>
      <c r="R21" s="65">
        <f t="shared" si="11"/>
        <v>3.1669</v>
      </c>
      <c r="S21" s="65">
        <f t="shared" si="11"/>
        <v>3.1330999999999998</v>
      </c>
      <c r="T21" s="65">
        <f t="shared" si="11"/>
        <v>2.5587999999999997</v>
      </c>
      <c r="U21" s="65">
        <f t="shared" si="11"/>
        <v>2.8236999999999997</v>
      </c>
      <c r="V21" s="65">
        <f t="shared" si="11"/>
        <v>2.7946999999999997</v>
      </c>
      <c r="W21" s="65">
        <f t="shared" si="11"/>
        <v>1.3337000000000001</v>
      </c>
      <c r="X21" s="63">
        <f>SourcedData!AD12</f>
        <v>0.47899999999999998</v>
      </c>
      <c r="Y21" s="63">
        <f>SourcedData!AE12</f>
        <v>0.30470000000000003</v>
      </c>
      <c r="Z21" s="63">
        <f>SourcedData!AF12</f>
        <v>0.4214</v>
      </c>
      <c r="AA21" s="63">
        <f>SourcedData!AG12</f>
        <v>0.40860000000000002</v>
      </c>
      <c r="AB21" s="63">
        <f>SourcedData!AH12</f>
        <v>0.2087</v>
      </c>
      <c r="AC21" s="63">
        <f>SourcedData!AI12</f>
        <v>0.28989999999999999</v>
      </c>
      <c r="AD21" s="63">
        <f>SourcedData!AJ12</f>
        <v>0.4551</v>
      </c>
      <c r="AE21" s="63">
        <f>SourcedData!AK12</f>
        <v>0.42759999999999998</v>
      </c>
      <c r="AF21" s="63">
        <f>SourcedData!AL12</f>
        <v>0.33850000000000002</v>
      </c>
      <c r="AG21" s="63">
        <f>SourcedData!AM12</f>
        <v>0.2452</v>
      </c>
      <c r="AH21" s="63">
        <f>SourcedData!AN12</f>
        <v>0.43790000000000001</v>
      </c>
      <c r="AI21" s="63">
        <f>SourcedData!AO12</f>
        <v>0.38919999999999999</v>
      </c>
      <c r="AJ21" s="63">
        <f>SourcedData!AP12</f>
        <v>0.4032</v>
      </c>
      <c r="AK21" s="63">
        <f>SourcedData!AQ12</f>
        <v>0.46800000000000003</v>
      </c>
      <c r="AL21" s="63">
        <f>SourcedData!AR12</f>
        <v>0.58699999999999997</v>
      </c>
      <c r="AM21" s="63">
        <f>SourcedData!AS12</f>
        <v>0.56230000000000002</v>
      </c>
      <c r="AN21" s="63">
        <f>SourcedData!AT12</f>
        <v>0.37240000000000001</v>
      </c>
      <c r="AO21" s="63">
        <f>SourcedData!AU12</f>
        <v>0.51900000000000002</v>
      </c>
      <c r="AP21" s="63">
        <f>SourcedData!AV12</f>
        <v>0.44379999999999997</v>
      </c>
      <c r="AQ21" s="63">
        <f>SourcedData!AW12</f>
        <v>0.34179999999999999</v>
      </c>
      <c r="AR21" s="63">
        <f>SourcedData!AX12</f>
        <v>0.4274</v>
      </c>
      <c r="AS21" s="63">
        <f>SourcedData!AY12</f>
        <v>0.3659</v>
      </c>
      <c r="AT21" s="63">
        <f>SourcedData!AZ12</f>
        <v>0.42399999999999999</v>
      </c>
      <c r="AU21" s="63">
        <f>SourcedData!BA12</f>
        <v>0.42749999999999999</v>
      </c>
      <c r="AV21" s="63">
        <f>SourcedData!BB12</f>
        <v>0.28399999999999997</v>
      </c>
      <c r="AW21" s="63">
        <f>SourcedData!BC12</f>
        <v>0.48099999999999998</v>
      </c>
      <c r="AX21" s="63">
        <f>SourcedData!BD12</f>
        <v>0.28399999999999997</v>
      </c>
      <c r="AY21" s="63">
        <f>SourcedData!BE12</f>
        <v>3.4000000000000002E-2</v>
      </c>
      <c r="AZ21" s="63">
        <f>SourcedData!BF12</f>
        <v>0.32400000000000001</v>
      </c>
      <c r="BA21" s="63">
        <f>SourcedData!BG12</f>
        <v>0.14199999999999999</v>
      </c>
      <c r="BB21" s="63">
        <f>SourcedData!BH12</f>
        <v>0.249</v>
      </c>
      <c r="BC21" s="63">
        <f>SourcedData!BI12</f>
        <v>0.39600000000000002</v>
      </c>
      <c r="BD21" s="63">
        <f>SourcedData!BJ12</f>
        <v>0.24399999999999999</v>
      </c>
      <c r="BE21" s="63">
        <f>SourcedData!BK12</f>
        <v>0.29799999999999999</v>
      </c>
      <c r="BF21" s="63">
        <f>SourcedData!BL12</f>
        <v>0.26900000000000002</v>
      </c>
      <c r="BG21" s="63">
        <f>SourcedData!BM12</f>
        <v>0.41299999999999998</v>
      </c>
      <c r="BH21" s="1"/>
      <c r="BI21" s="22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E21" s="59">
        <f>SUMIF($D$7:$AA$7,CE$8,$D21:$AA21)</f>
        <v>12.970500000000001</v>
      </c>
      <c r="CF21" s="59">
        <f>SUMIF($D$7:$AA$7,CF$8,$D21:$AA21)</f>
        <v>12.503399999999999</v>
      </c>
      <c r="CG21" s="59">
        <f>SUMIF($D$7:$AA$7,CG$8,$D21:$AA21)</f>
        <v>20.914100000000001</v>
      </c>
      <c r="CH21" s="59">
        <f>SUMIF($D$7:$AA$7,CH$8,$D21:$AA21)</f>
        <v>12.332100000000001</v>
      </c>
      <c r="CI21" s="59">
        <f>SUMIF($D$7:$AA$7,CI$8,$D21:$AA21)</f>
        <v>9.5108999999999995</v>
      </c>
      <c r="CJ21" s="59">
        <f t="shared" ref="CJ21:CQ21" si="12">SUMIF($D$7:$BH$7,CJ$8,$D21:$BH21)</f>
        <v>1.6137000000000001</v>
      </c>
      <c r="CK21" s="59">
        <f t="shared" si="12"/>
        <v>1.3813</v>
      </c>
      <c r="CL21" s="59">
        <f t="shared" si="12"/>
        <v>1.4108000000000001</v>
      </c>
      <c r="CM21" s="59">
        <f t="shared" si="12"/>
        <v>2.0205000000000002</v>
      </c>
      <c r="CN21" s="59">
        <f t="shared" si="12"/>
        <v>1.677</v>
      </c>
      <c r="CO21" s="59">
        <f t="shared" si="12"/>
        <v>1.6448</v>
      </c>
      <c r="CP21" s="59">
        <f t="shared" si="12"/>
        <v>1.083</v>
      </c>
      <c r="CQ21" s="59">
        <f t="shared" si="12"/>
        <v>1.111</v>
      </c>
      <c r="CS21" t="s">
        <v>111</v>
      </c>
      <c r="CT21" s="1"/>
      <c r="CU21" s="4"/>
      <c r="CV21" s="1"/>
      <c r="CW21" s="1"/>
      <c r="CX21" s="17"/>
      <c r="CY21" s="1"/>
      <c r="CZ21" s="1"/>
      <c r="DA21" s="1"/>
      <c r="DL21" s="1"/>
      <c r="DM21" s="4" t="s">
        <v>112</v>
      </c>
      <c r="DN21" s="4" t="s">
        <v>112</v>
      </c>
      <c r="DO21" s="4" t="s">
        <v>112</v>
      </c>
      <c r="DP21" s="1"/>
      <c r="DQ21" s="1"/>
      <c r="DR21" s="1"/>
      <c r="DS21" s="1"/>
      <c r="DT21" s="1"/>
      <c r="DU21" s="1"/>
      <c r="DV21" s="1"/>
      <c r="DW21" s="1"/>
      <c r="DX21" s="1"/>
      <c r="DY21" s="4"/>
      <c r="DZ21" s="4"/>
      <c r="EA21" s="4"/>
      <c r="EB21" s="4"/>
      <c r="EC21" s="4"/>
      <c r="ED21" s="4"/>
      <c r="EE21" s="4"/>
      <c r="EF21" s="4"/>
      <c r="EG21" s="4" t="s">
        <v>95</v>
      </c>
      <c r="EH21" s="4" t="s">
        <v>95</v>
      </c>
      <c r="EI21" s="4" t="s">
        <v>95</v>
      </c>
      <c r="EJ21" s="4" t="s">
        <v>95</v>
      </c>
      <c r="EK21" s="4" t="s">
        <v>96</v>
      </c>
      <c r="EL21" s="4" t="s">
        <v>96</v>
      </c>
      <c r="EM21" s="4" t="s">
        <v>96</v>
      </c>
      <c r="EN21" s="4" t="s">
        <v>96</v>
      </c>
      <c r="EO21" s="4" t="s">
        <v>97</v>
      </c>
      <c r="EP21" s="4" t="s">
        <v>97</v>
      </c>
      <c r="EQ21" s="4" t="s">
        <v>97</v>
      </c>
      <c r="ER21" s="4" t="s">
        <v>97</v>
      </c>
      <c r="ES21" s="4" t="s">
        <v>113</v>
      </c>
      <c r="ET21" s="4" t="s">
        <v>113</v>
      </c>
      <c r="EU21" s="4" t="s">
        <v>113</v>
      </c>
      <c r="EV21" s="4" t="s">
        <v>114</v>
      </c>
      <c r="EW21" s="4" t="s">
        <v>114</v>
      </c>
      <c r="EX21" s="4" t="s">
        <v>114</v>
      </c>
      <c r="EY21" s="4" t="s">
        <v>114</v>
      </c>
      <c r="EZ21" s="4" t="s">
        <v>114</v>
      </c>
      <c r="FA21" s="4" t="s">
        <v>115</v>
      </c>
      <c r="FB21" s="4" t="s">
        <v>115</v>
      </c>
      <c r="FC21" s="4" t="s">
        <v>115</v>
      </c>
      <c r="FD21" s="4" t="s">
        <v>115</v>
      </c>
      <c r="FE21" s="4" t="s">
        <v>116</v>
      </c>
      <c r="FF21" s="4" t="s">
        <v>116</v>
      </c>
      <c r="FG21" s="4" t="s">
        <v>116</v>
      </c>
      <c r="FH21" s="4" t="s">
        <v>116</v>
      </c>
      <c r="FI21" s="4" t="s">
        <v>117</v>
      </c>
      <c r="FJ21" s="4" t="s">
        <v>117</v>
      </c>
      <c r="FK21" s="4" t="s">
        <v>117</v>
      </c>
      <c r="FL21" s="4" t="s">
        <v>117</v>
      </c>
      <c r="FM21" s="4"/>
    </row>
    <row r="22" spans="1:182" ht="13.5" customHeight="1" x14ac:dyDescent="0.2">
      <c r="A22" s="27"/>
      <c r="C22" s="22"/>
      <c r="D22" s="7"/>
      <c r="E22" s="7"/>
      <c r="F22" s="7"/>
      <c r="G22" s="7"/>
      <c r="H22" s="7"/>
      <c r="I22" s="7"/>
      <c r="J22" s="7"/>
      <c r="K22" s="7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22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E22" s="63"/>
      <c r="CF22" s="63"/>
      <c r="CG22" s="63"/>
      <c r="CH22" s="63"/>
      <c r="CI22" s="63"/>
      <c r="CJ22" s="63"/>
      <c r="CK22" s="63"/>
      <c r="CL22" s="64"/>
      <c r="CM22" s="64"/>
      <c r="CN22" s="64"/>
      <c r="CO22" s="64"/>
      <c r="CP22" s="64"/>
      <c r="CT22" s="1"/>
      <c r="CU22" s="4"/>
      <c r="CV22" s="1"/>
      <c r="CW22" s="1"/>
      <c r="CX22" s="17"/>
      <c r="CY22" s="1"/>
      <c r="CZ22" s="1"/>
      <c r="DA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</row>
    <row r="23" spans="1:182" ht="13.5" customHeight="1" x14ac:dyDescent="0.2">
      <c r="A23" s="1" t="s">
        <v>118</v>
      </c>
      <c r="C23" s="22"/>
      <c r="D23" s="7"/>
      <c r="E23" s="7"/>
      <c r="F23" s="7"/>
      <c r="G23" s="7"/>
      <c r="H23" s="7"/>
      <c r="I23" s="7"/>
      <c r="J23" s="7"/>
      <c r="K23" s="7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22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E23" s="63"/>
      <c r="CF23" s="63">
        <f>SUM(CF10,CF12)</f>
        <v>14.132898039215686</v>
      </c>
      <c r="CG23" s="63"/>
      <c r="CH23" s="63"/>
      <c r="CI23" s="63"/>
      <c r="CJ23" s="63"/>
      <c r="CK23" s="63"/>
      <c r="CL23" s="64"/>
      <c r="CM23" s="64"/>
      <c r="CN23" s="64"/>
      <c r="CO23" s="64"/>
      <c r="CP23" s="64"/>
      <c r="CT23" s="1"/>
      <c r="CU23" s="4"/>
      <c r="CV23" s="1"/>
      <c r="CW23" s="1"/>
      <c r="CX23" s="17"/>
      <c r="CY23" s="1"/>
      <c r="CZ23" s="1"/>
      <c r="DA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</row>
    <row r="24" spans="1:182" ht="13.5" customHeight="1" x14ac:dyDescent="0.2">
      <c r="A24" t="s">
        <v>98</v>
      </c>
      <c r="B24" t="s">
        <v>85</v>
      </c>
      <c r="C24" s="22"/>
      <c r="D24" s="7"/>
      <c r="E24" s="7"/>
      <c r="F24" s="7"/>
      <c r="G24" s="7"/>
      <c r="H24" s="7"/>
      <c r="I24" s="7"/>
      <c r="J24" s="7"/>
      <c r="K24" s="7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22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E24" s="63"/>
      <c r="CF24" s="63"/>
      <c r="CG24" s="63"/>
      <c r="CH24" s="63">
        <f>SourcedData!CE13</f>
        <v>11.672969999999999</v>
      </c>
      <c r="CI24" s="63">
        <f>SourcedData!CF13</f>
        <v>12.040414</v>
      </c>
      <c r="CJ24" s="63">
        <f>SourcedData!CG13</f>
        <v>10.022541</v>
      </c>
      <c r="CK24" s="63">
        <f>SourcedData!CH13</f>
        <v>9.3513800000000007</v>
      </c>
      <c r="CL24" s="63">
        <f>SourcedData!CI13</f>
        <v>10.27</v>
      </c>
      <c r="CM24" s="63">
        <f>SourcedData!CJ13</f>
        <v>9.5085239999999995</v>
      </c>
      <c r="CN24" s="63"/>
      <c r="CO24" s="63"/>
      <c r="CP24" s="63"/>
      <c r="CT24" s="1"/>
      <c r="CU24" s="4"/>
      <c r="CV24" s="1"/>
      <c r="CW24" s="1"/>
      <c r="CX24" s="17"/>
      <c r="CY24" s="1"/>
      <c r="CZ24" s="1"/>
      <c r="DA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Q24" s="4" t="s">
        <v>119</v>
      </c>
      <c r="FR24" s="4" t="s">
        <v>119</v>
      </c>
      <c r="FS24" s="4" t="s">
        <v>119</v>
      </c>
      <c r="FT24" s="4" t="s">
        <v>120</v>
      </c>
      <c r="FU24" s="4" t="s">
        <v>120</v>
      </c>
      <c r="FV24" s="4" t="s">
        <v>121</v>
      </c>
    </row>
    <row r="25" spans="1:182" ht="13.5" customHeight="1" x14ac:dyDescent="0.2">
      <c r="A25" t="s">
        <v>122</v>
      </c>
      <c r="B25" t="s">
        <v>85</v>
      </c>
      <c r="C25" s="22"/>
      <c r="D25" s="7"/>
      <c r="E25" s="7"/>
      <c r="F25" s="7"/>
      <c r="G25" s="7"/>
      <c r="H25" s="7"/>
      <c r="I25" s="7"/>
      <c r="J25" s="7"/>
      <c r="K25" s="7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22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E25" s="63"/>
      <c r="CF25" s="63"/>
      <c r="CG25" s="63"/>
      <c r="CH25" s="63">
        <f>SourcedData!CE14</f>
        <v>11.084524999999999</v>
      </c>
      <c r="CI25" s="63">
        <f>SourcedData!CF14</f>
        <v>11.056229999999999</v>
      </c>
      <c r="CJ25" s="63">
        <f>SourcedData!CG14</f>
        <v>10.828616</v>
      </c>
      <c r="CK25" s="63">
        <f>SourcedData!CH14</f>
        <v>11.132</v>
      </c>
      <c r="CL25" s="63">
        <f>SourcedData!CI14</f>
        <v>11.16</v>
      </c>
      <c r="CM25" s="63"/>
      <c r="CN25" s="63">
        <f>SourcedData!CK14</f>
        <v>11.476069000000001</v>
      </c>
      <c r="CO25" s="63">
        <f>SourcedData!CL14</f>
        <v>10.948135000000001</v>
      </c>
      <c r="CP25" s="63">
        <f>SourcedData!CM14</f>
        <v>11.023168</v>
      </c>
      <c r="CQ25" s="63">
        <f>SourcedData!CN14</f>
        <v>10.840263</v>
      </c>
      <c r="CT25" s="1"/>
      <c r="CU25" s="4"/>
      <c r="CV25" s="1"/>
      <c r="CW25" s="1"/>
      <c r="CX25" s="17"/>
      <c r="CY25" s="1"/>
      <c r="CZ25" s="1"/>
      <c r="DA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Q25" s="4" t="s">
        <v>119</v>
      </c>
      <c r="FR25" s="4" t="s">
        <v>119</v>
      </c>
      <c r="FS25" s="4" t="s">
        <v>119</v>
      </c>
      <c r="FT25" s="4" t="s">
        <v>120</v>
      </c>
      <c r="FU25" s="4" t="s">
        <v>120</v>
      </c>
      <c r="FW25" s="4" t="s">
        <v>121</v>
      </c>
      <c r="FX25" s="4" t="s">
        <v>121</v>
      </c>
      <c r="FY25" s="4" t="s">
        <v>123</v>
      </c>
      <c r="FZ25" s="4" t="s">
        <v>124</v>
      </c>
    </row>
    <row r="26" spans="1:182" ht="13.5" customHeight="1" x14ac:dyDescent="0.2">
      <c r="A26" s="27"/>
      <c r="C26" s="22"/>
      <c r="D26" s="7"/>
      <c r="E26" s="7"/>
      <c r="F26" s="7"/>
      <c r="G26" s="7"/>
      <c r="H26" s="7"/>
      <c r="I26" s="7"/>
      <c r="J26" s="7"/>
      <c r="K26" s="7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22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L26" s="24"/>
      <c r="CM26" s="24"/>
      <c r="CN26" s="24"/>
      <c r="CO26" s="24"/>
      <c r="CP26" s="24"/>
      <c r="CT26" s="1"/>
      <c r="CU26" s="4"/>
      <c r="CV26" s="1"/>
      <c r="CW26" s="1"/>
      <c r="CX26" s="17"/>
      <c r="CY26" s="1"/>
      <c r="CZ26" s="1"/>
      <c r="DA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</row>
    <row r="27" spans="1:182" ht="13.5" customHeight="1" x14ac:dyDescent="0.2">
      <c r="A27" s="1" t="s">
        <v>125</v>
      </c>
      <c r="C27" s="22"/>
      <c r="D27" s="7"/>
      <c r="E27" s="7"/>
      <c r="F27" s="7"/>
      <c r="G27" s="7"/>
      <c r="H27" s="7"/>
      <c r="I27" s="7"/>
      <c r="J27" s="7"/>
      <c r="K27" s="7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22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L27" s="24"/>
      <c r="CM27" s="24"/>
      <c r="CN27" s="24"/>
      <c r="CO27" s="24"/>
      <c r="CP27" s="24"/>
      <c r="CT27" s="1"/>
      <c r="CU27" s="4"/>
      <c r="CV27" s="1"/>
      <c r="CW27" s="1"/>
      <c r="CX27" s="17"/>
      <c r="CY27" s="1"/>
      <c r="CZ27" s="1"/>
      <c r="DA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</row>
    <row r="28" spans="1:182" ht="13.5" customHeight="1" x14ac:dyDescent="0.2">
      <c r="A28" t="s">
        <v>98</v>
      </c>
      <c r="B28" t="s">
        <v>126</v>
      </c>
      <c r="C28" s="22"/>
      <c r="D28" s="7"/>
      <c r="E28" s="7"/>
      <c r="F28" s="7"/>
      <c r="G28" s="7"/>
      <c r="H28" s="7"/>
      <c r="I28" s="7"/>
      <c r="J28" s="7"/>
      <c r="K28" s="7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22"/>
      <c r="BJ28" s="37">
        <f>BJ60/BJ47</f>
        <v>0.78180905192501227</v>
      </c>
      <c r="BK28" s="37">
        <f>BK60/BK47</f>
        <v>0.72316412807506769</v>
      </c>
      <c r="BL28" s="1"/>
      <c r="BM28" s="37">
        <f t="shared" ref="BM28:BV28" si="13">BM60/BM47</f>
        <v>0.7455499987884372</v>
      </c>
      <c r="BN28" s="37">
        <f t="shared" si="13"/>
        <v>0.74654691946361862</v>
      </c>
      <c r="BO28" s="37">
        <f t="shared" si="13"/>
        <v>0.74381581624112592</v>
      </c>
      <c r="BP28" s="37">
        <f t="shared" si="13"/>
        <v>0.74860250610872392</v>
      </c>
      <c r="BQ28" s="37">
        <f t="shared" si="13"/>
        <v>0.76860115139379614</v>
      </c>
      <c r="BR28" s="37">
        <f t="shared" si="13"/>
        <v>0.76727844256188926</v>
      </c>
      <c r="BS28" s="37">
        <f t="shared" si="13"/>
        <v>0.74160915968174401</v>
      </c>
      <c r="BT28" s="37">
        <f t="shared" si="13"/>
        <v>0.76335246600707929</v>
      </c>
      <c r="BU28" s="37">
        <f t="shared" si="13"/>
        <v>0.72464293745231856</v>
      </c>
      <c r="BV28" s="37">
        <f t="shared" si="13"/>
        <v>0.80336700292697638</v>
      </c>
      <c r="BW28" s="1"/>
      <c r="BX28" s="1"/>
      <c r="BY28" s="1"/>
      <c r="BZ28" s="1"/>
      <c r="CA28" s="1"/>
      <c r="CB28" s="1"/>
      <c r="CC28" s="1"/>
      <c r="CH28" s="37">
        <f t="shared" ref="CH28:CM28" si="14">CH12/CH24</f>
        <v>0.72473448673033747</v>
      </c>
      <c r="CI28" s="37">
        <f t="shared" si="14"/>
        <v>0.75052790266735558</v>
      </c>
      <c r="CJ28" s="37">
        <f t="shared" si="14"/>
        <v>0.73993994450833855</v>
      </c>
      <c r="CK28" s="37">
        <f t="shared" si="14"/>
        <v>0.70860884577840844</v>
      </c>
      <c r="CL28" s="37">
        <f t="shared" si="14"/>
        <v>0.74605265670046006</v>
      </c>
      <c r="CM28" s="37">
        <f t="shared" si="14"/>
        <v>0.786456364382766</v>
      </c>
      <c r="CN28" s="37">
        <f>AVERAGE(BR28:BS28)</f>
        <v>0.75444380112181664</v>
      </c>
      <c r="CO28" s="37">
        <f>AVERAGE(BS28:BT28)</f>
        <v>0.7524808128444116</v>
      </c>
      <c r="CP28" s="37">
        <f>AVERAGE(BT28:BU28)</f>
        <v>0.74399770172969892</v>
      </c>
      <c r="CQ28" s="37">
        <f>AVERAGE(BU28:BV28)</f>
        <v>0.76400497018964741</v>
      </c>
      <c r="CS28" t="s">
        <v>127</v>
      </c>
      <c r="CT28" s="1"/>
      <c r="CU28" s="4"/>
      <c r="CV28" s="1"/>
      <c r="CW28" s="1"/>
      <c r="CX28" s="17"/>
      <c r="CY28" s="1"/>
      <c r="CZ28" s="1"/>
      <c r="DA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</row>
    <row r="29" spans="1:182" ht="13.5" customHeight="1" x14ac:dyDescent="0.2">
      <c r="A29" t="s">
        <v>128</v>
      </c>
      <c r="B29" t="s">
        <v>126</v>
      </c>
      <c r="C29" s="22"/>
      <c r="D29" s="7"/>
      <c r="E29" s="7"/>
      <c r="F29" s="7"/>
      <c r="G29" s="7"/>
      <c r="H29" s="7"/>
      <c r="I29" s="7"/>
      <c r="J29" s="7"/>
      <c r="K29" s="7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22"/>
      <c r="BJ29" s="37">
        <f>BJ61/BJ55</f>
        <v>0.93006576391243023</v>
      </c>
      <c r="BK29" s="37">
        <f>BK61/BK55</f>
        <v>0.91658341174023439</v>
      </c>
      <c r="BL29" s="1"/>
      <c r="BM29" s="37">
        <f>BM61/BM55</f>
        <v>0.93979953435866226</v>
      </c>
      <c r="BN29" s="37">
        <f>BN61/BN55</f>
        <v>0.91459030219181459</v>
      </c>
      <c r="BO29" s="1"/>
      <c r="BP29" s="1"/>
      <c r="BQ29" s="1"/>
      <c r="BR29" s="37">
        <f t="shared" ref="BR29:BV30" si="15">BR61/BR55</f>
        <v>0.92758388889782784</v>
      </c>
      <c r="BS29" s="37">
        <f t="shared" si="15"/>
        <v>0.88950579899529481</v>
      </c>
      <c r="BT29" s="37">
        <f t="shared" si="15"/>
        <v>0.90910526497390276</v>
      </c>
      <c r="BU29" s="37">
        <f t="shared" si="15"/>
        <v>0.87313528232366411</v>
      </c>
      <c r="BV29" s="37">
        <f t="shared" si="15"/>
        <v>0.89797977875529966</v>
      </c>
      <c r="BW29" s="1"/>
      <c r="BX29" s="1"/>
      <c r="BY29" s="1"/>
      <c r="BZ29" s="1"/>
      <c r="CA29" s="1"/>
      <c r="CB29" s="1"/>
      <c r="CC29" s="1"/>
      <c r="CL29" s="24"/>
      <c r="CT29" s="1"/>
      <c r="CU29" s="4"/>
      <c r="CV29" s="1"/>
      <c r="CW29" s="1"/>
      <c r="CX29" s="17"/>
      <c r="CY29" s="1"/>
      <c r="CZ29" s="1"/>
      <c r="DA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</row>
    <row r="30" spans="1:182" ht="13.5" customHeight="1" x14ac:dyDescent="0.2">
      <c r="A30" t="s">
        <v>122</v>
      </c>
      <c r="B30" t="s">
        <v>126</v>
      </c>
      <c r="C30" s="22"/>
      <c r="D30" s="7"/>
      <c r="E30" s="7"/>
      <c r="F30" s="7"/>
      <c r="G30" s="7"/>
      <c r="H30" s="7"/>
      <c r="I30" s="7"/>
      <c r="J30" s="7"/>
      <c r="K30" s="7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22"/>
      <c r="BJ30" s="37">
        <f>BJ62/BJ56</f>
        <v>0.82038072664736972</v>
      </c>
      <c r="BK30" s="37">
        <f>BK62/BK56</f>
        <v>0.81570780305458768</v>
      </c>
      <c r="BL30" s="1"/>
      <c r="BM30" s="37">
        <f>BM62/BM56</f>
        <v>0.79742371126451206</v>
      </c>
      <c r="BN30" s="37">
        <f>BN62/BN56</f>
        <v>0.82025058614403301</v>
      </c>
      <c r="BO30" s="37">
        <f>BO62/BO56</f>
        <v>0.82301497965191805</v>
      </c>
      <c r="BP30" s="37">
        <f>BP62/BP56</f>
        <v>0.81839893007260223</v>
      </c>
      <c r="BQ30" s="37">
        <f>BQ62/BQ56</f>
        <v>0.82508823058337788</v>
      </c>
      <c r="BR30" s="37">
        <f t="shared" si="15"/>
        <v>0.84451541113580353</v>
      </c>
      <c r="BS30" s="37">
        <f t="shared" si="15"/>
        <v>0.8282971794097016</v>
      </c>
      <c r="BT30" s="37">
        <f t="shared" si="15"/>
        <v>0.81885645341259017</v>
      </c>
      <c r="BU30" s="37">
        <f t="shared" si="15"/>
        <v>0.80946949280945191</v>
      </c>
      <c r="BV30" s="37">
        <f t="shared" si="15"/>
        <v>0.81180349220176684</v>
      </c>
      <c r="BW30" s="1"/>
      <c r="BX30" s="1"/>
      <c r="BY30" s="1"/>
      <c r="BZ30" s="1"/>
      <c r="CA30" s="1"/>
      <c r="CB30" s="1"/>
      <c r="CC30" s="1"/>
      <c r="CF30" s="37">
        <f>AVERAGE(BJ30:BK30)</f>
        <v>0.8180442648509787</v>
      </c>
      <c r="CH30" s="37">
        <f>CH152/CH25</f>
        <v>0.79029358497544999</v>
      </c>
      <c r="CI30" s="37">
        <f>CI152/CI25</f>
        <v>0.82035630590174047</v>
      </c>
      <c r="CJ30" s="37">
        <f>CJ152/CJ25</f>
        <v>0.81789094746734015</v>
      </c>
      <c r="CK30" s="37">
        <f>CK152/CK25</f>
        <v>0.83136902623068631</v>
      </c>
      <c r="CL30" s="37">
        <f>CL152/CL25</f>
        <v>0.79327956989247306</v>
      </c>
      <c r="CM30" s="24"/>
      <c r="CN30" s="37">
        <f>CN152/CN25</f>
        <v>0.83577556042927248</v>
      </c>
      <c r="CO30" s="37">
        <f>CO152/CO25</f>
        <v>0.8254416848166376</v>
      </c>
      <c r="CP30" s="37">
        <f>CP152/CP25</f>
        <v>0.80403519206093932</v>
      </c>
      <c r="CQ30" s="37">
        <f>CQ152/CQ25</f>
        <v>0.81626681935668899</v>
      </c>
      <c r="CS30" t="s">
        <v>129</v>
      </c>
      <c r="CT30" s="1"/>
      <c r="CU30" s="4"/>
      <c r="CV30" s="1"/>
      <c r="CW30" s="1"/>
      <c r="CX30" s="17"/>
      <c r="CY30" s="1"/>
      <c r="CZ30" s="1"/>
      <c r="DA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</row>
    <row r="31" spans="1:182" ht="13.5" customHeight="1" x14ac:dyDescent="0.2">
      <c r="A31" s="27"/>
      <c r="C31" s="22"/>
      <c r="D31" s="7"/>
      <c r="E31" s="7"/>
      <c r="F31" s="7"/>
      <c r="G31" s="7"/>
      <c r="H31" s="7"/>
      <c r="I31" s="7"/>
      <c r="J31" s="7"/>
      <c r="K31" s="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22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L31" s="24"/>
      <c r="CM31" s="24"/>
      <c r="CN31" s="24"/>
      <c r="CO31" s="24"/>
      <c r="CT31" s="1"/>
      <c r="CU31" s="4"/>
      <c r="CV31" s="1"/>
      <c r="CW31" s="1"/>
      <c r="CX31" s="17"/>
      <c r="CY31" s="1"/>
      <c r="CZ31" s="1"/>
      <c r="DA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</row>
    <row r="32" spans="1:182" ht="13.5" customHeight="1" x14ac:dyDescent="0.2">
      <c r="A32" s="1" t="s">
        <v>130</v>
      </c>
      <c r="C32" s="22"/>
      <c r="D32" s="7"/>
      <c r="E32" s="7"/>
      <c r="F32" s="7"/>
      <c r="G32" s="7"/>
      <c r="H32" s="7"/>
      <c r="I32" s="7"/>
      <c r="J32" s="7"/>
      <c r="K32" s="7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22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L32" s="24"/>
      <c r="CM32" s="24"/>
      <c r="CN32" s="24"/>
      <c r="CO32" s="24"/>
      <c r="CT32" s="1"/>
      <c r="CU32" s="4"/>
      <c r="CV32" s="1"/>
      <c r="CW32" s="1"/>
      <c r="CX32" s="17"/>
      <c r="CY32" s="1"/>
      <c r="CZ32" s="1"/>
      <c r="DA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</row>
    <row r="33" spans="1:169" ht="13.5" customHeight="1" x14ac:dyDescent="0.2">
      <c r="A33" t="s">
        <v>131</v>
      </c>
      <c r="B33" t="s">
        <v>126</v>
      </c>
      <c r="C33" s="22"/>
      <c r="D33" s="49">
        <f>SourcedData!J15</f>
        <v>0.7</v>
      </c>
      <c r="E33" s="49">
        <f>SourcedData!K15</f>
        <v>0.7</v>
      </c>
      <c r="F33" s="49">
        <f>SourcedData!L15</f>
        <v>0.7</v>
      </c>
      <c r="G33" s="49">
        <f>SourcedData!M15</f>
        <v>0.7</v>
      </c>
      <c r="H33" s="49">
        <f>SourcedData!N15</f>
        <v>0.7</v>
      </c>
      <c r="I33" s="49">
        <f>SourcedData!O15</f>
        <v>0.7</v>
      </c>
      <c r="J33" s="49">
        <f>SourcedData!P15</f>
        <v>0.7</v>
      </c>
      <c r="K33" s="49">
        <f>SourcedData!Q15</f>
        <v>0.7</v>
      </c>
      <c r="L33" s="49">
        <f>SourcedData!R15</f>
        <v>0.7</v>
      </c>
      <c r="M33" s="49">
        <f>SourcedData!S15</f>
        <v>0.7</v>
      </c>
      <c r="N33" s="49">
        <f>SourcedData!T15</f>
        <v>0.7</v>
      </c>
      <c r="O33" s="49">
        <f>SourcedData!U15</f>
        <v>0.7</v>
      </c>
      <c r="P33" s="49">
        <f>SourcedData!V15</f>
        <v>0.7</v>
      </c>
      <c r="Q33" s="49">
        <f>SourcedData!W15</f>
        <v>0.7</v>
      </c>
      <c r="R33" s="49">
        <f>SourcedData!X15</f>
        <v>0.7</v>
      </c>
      <c r="S33" s="49">
        <f>SourcedData!Y15</f>
        <v>0.7</v>
      </c>
      <c r="T33" s="49">
        <f>SourcedData!Z15</f>
        <v>0.7</v>
      </c>
      <c r="U33" s="49">
        <f>SourcedData!AA15</f>
        <v>0.7</v>
      </c>
      <c r="V33" s="49">
        <f>SourcedData!AB15</f>
        <v>0.7</v>
      </c>
      <c r="W33" s="49">
        <f>SourcedData!AC15</f>
        <v>0.7</v>
      </c>
      <c r="X33" s="49">
        <f>SourcedData!AD15</f>
        <v>0.7</v>
      </c>
      <c r="Y33" s="49">
        <f>SourcedData!AE15</f>
        <v>0.7</v>
      </c>
      <c r="Z33" s="49">
        <f>SourcedData!AF15</f>
        <v>0.7</v>
      </c>
      <c r="AA33" s="49">
        <f>SourcedData!AG15</f>
        <v>0.7</v>
      </c>
      <c r="AB33" s="49">
        <f>SourcedData!AH15</f>
        <v>0.7</v>
      </c>
      <c r="AC33" s="49">
        <f>SourcedData!AI15</f>
        <v>0.7</v>
      </c>
      <c r="AD33" s="49">
        <f>SourcedData!AJ15</f>
        <v>0.7</v>
      </c>
      <c r="AE33" s="49">
        <f>SourcedData!AK15</f>
        <v>0.7</v>
      </c>
      <c r="AF33" s="49">
        <f>SourcedData!AL15</f>
        <v>0.7</v>
      </c>
      <c r="AG33" s="49">
        <f>SourcedData!AM15</f>
        <v>0.7</v>
      </c>
      <c r="AH33" s="49">
        <f>SourcedData!AN15</f>
        <v>0.7</v>
      </c>
      <c r="AI33" s="49">
        <f>SourcedData!AO15</f>
        <v>0.7</v>
      </c>
      <c r="AJ33" s="49">
        <f>SourcedData!AP15</f>
        <v>0.7</v>
      </c>
      <c r="AK33" s="49">
        <f>SourcedData!AQ15</f>
        <v>0.7</v>
      </c>
      <c r="AL33" s="49">
        <f>SourcedData!AR15</f>
        <v>0.7</v>
      </c>
      <c r="AM33" s="49">
        <f>SourcedData!AS15</f>
        <v>0.7</v>
      </c>
      <c r="AN33" s="49">
        <f>SourcedData!AT15</f>
        <v>0.7</v>
      </c>
      <c r="AO33" s="49">
        <f>SourcedData!AU15</f>
        <v>0.7</v>
      </c>
      <c r="AP33" s="49">
        <f>SourcedData!AV15</f>
        <v>0.7</v>
      </c>
      <c r="AQ33" s="49">
        <f>SourcedData!AW15</f>
        <v>0.7</v>
      </c>
      <c r="AR33" s="49">
        <f>SourcedData!AX15</f>
        <v>0.7</v>
      </c>
      <c r="AS33" s="49">
        <f>SourcedData!AY15</f>
        <v>0.7</v>
      </c>
      <c r="AT33" s="49">
        <f>SourcedData!AZ15</f>
        <v>0.7</v>
      </c>
      <c r="AU33" s="49">
        <f>SourcedData!BA15</f>
        <v>0.7</v>
      </c>
      <c r="AV33" s="49">
        <f>SourcedData!BB15</f>
        <v>0.7</v>
      </c>
      <c r="AW33" s="49">
        <f>SourcedData!BC15</f>
        <v>0.7</v>
      </c>
      <c r="AX33" s="49">
        <f>SourcedData!BD15</f>
        <v>0.7</v>
      </c>
      <c r="AY33" s="49">
        <f>SourcedData!BE15</f>
        <v>0.7</v>
      </c>
      <c r="AZ33" s="49">
        <f>SourcedData!BF15</f>
        <v>0.7</v>
      </c>
      <c r="BA33" s="49">
        <f>SourcedData!BG15</f>
        <v>0.7</v>
      </c>
      <c r="BB33" s="49">
        <f>SourcedData!BH15</f>
        <v>0.7</v>
      </c>
      <c r="BC33" s="49">
        <f>SourcedData!BI15</f>
        <v>0.7</v>
      </c>
      <c r="BD33" s="49">
        <f>SourcedData!BJ15</f>
        <v>0.7</v>
      </c>
      <c r="BE33" s="49">
        <f>SourcedData!BK15</f>
        <v>0.7</v>
      </c>
      <c r="BF33" s="49">
        <f>SourcedData!BL15</f>
        <v>0.7</v>
      </c>
      <c r="BG33" s="49">
        <f>SourcedData!BM15</f>
        <v>0.7</v>
      </c>
      <c r="BH33" s="1"/>
      <c r="BI33" s="22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L33" s="24"/>
      <c r="CM33" s="24"/>
      <c r="CN33" s="24"/>
      <c r="CO33" s="24"/>
      <c r="CT33" s="1"/>
      <c r="CU33" s="4"/>
      <c r="CV33" s="1"/>
      <c r="CW33" s="1"/>
      <c r="CX33" s="17"/>
      <c r="CY33" s="1"/>
      <c r="CZ33" s="1"/>
      <c r="DA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</row>
    <row r="34" spans="1:169" ht="13.5" customHeight="1" x14ac:dyDescent="0.2">
      <c r="A34" t="s">
        <v>84</v>
      </c>
      <c r="B34" t="s">
        <v>126</v>
      </c>
      <c r="C34" s="22"/>
      <c r="D34" s="49">
        <f>SourcedData!J16</f>
        <v>1</v>
      </c>
      <c r="E34" s="49">
        <f>SourcedData!K16</f>
        <v>1</v>
      </c>
      <c r="F34" s="49">
        <f>SourcedData!L16</f>
        <v>1</v>
      </c>
      <c r="G34" s="49">
        <f>SourcedData!M16</f>
        <v>1</v>
      </c>
      <c r="H34" s="49">
        <f>SourcedData!N16</f>
        <v>1</v>
      </c>
      <c r="I34" s="49">
        <f>SourcedData!O16</f>
        <v>1</v>
      </c>
      <c r="J34" s="49">
        <f>SourcedData!P16</f>
        <v>1</v>
      </c>
      <c r="K34" s="49">
        <f>SourcedData!Q16</f>
        <v>1</v>
      </c>
      <c r="L34" s="49">
        <f>SourcedData!R16</f>
        <v>1</v>
      </c>
      <c r="M34" s="49">
        <f>SourcedData!S16</f>
        <v>1</v>
      </c>
      <c r="N34" s="49">
        <f>SourcedData!T16</f>
        <v>1</v>
      </c>
      <c r="O34" s="49">
        <f>SourcedData!U16</f>
        <v>1</v>
      </c>
      <c r="P34" s="49">
        <f>SourcedData!V16</f>
        <v>1</v>
      </c>
      <c r="Q34" s="49">
        <f>SourcedData!W16</f>
        <v>1</v>
      </c>
      <c r="R34" s="49">
        <f>SourcedData!X16</f>
        <v>1</v>
      </c>
      <c r="S34" s="49">
        <f>SourcedData!Y16</f>
        <v>1</v>
      </c>
      <c r="T34" s="49">
        <f>SourcedData!Z16</f>
        <v>1</v>
      </c>
      <c r="U34" s="49">
        <f>SourcedData!AA16</f>
        <v>1</v>
      </c>
      <c r="V34" s="49">
        <f>SourcedData!AB16</f>
        <v>1</v>
      </c>
      <c r="W34" s="49">
        <f>SourcedData!AC16</f>
        <v>1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22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L34" s="24"/>
      <c r="CM34" s="24"/>
      <c r="CN34" s="24"/>
      <c r="CO34" s="24"/>
      <c r="CT34" s="1"/>
      <c r="CU34" s="4"/>
      <c r="CV34" s="1"/>
      <c r="CW34" s="1"/>
      <c r="CX34" s="17"/>
      <c r="CY34" s="1"/>
      <c r="CZ34" s="1"/>
      <c r="DA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</row>
    <row r="35" spans="1:169" ht="13.5" customHeight="1" x14ac:dyDescent="0.2">
      <c r="A35" t="s">
        <v>98</v>
      </c>
      <c r="B35" t="s">
        <v>126</v>
      </c>
      <c r="C35" s="22"/>
      <c r="D35" s="49">
        <f>SourcedData!J17</f>
        <v>0.51</v>
      </c>
      <c r="E35" s="49">
        <f>SourcedData!K17</f>
        <v>0.51</v>
      </c>
      <c r="F35" s="49">
        <f>SourcedData!L17</f>
        <v>0.51</v>
      </c>
      <c r="G35" s="49">
        <f>SourcedData!M17</f>
        <v>0.51</v>
      </c>
      <c r="H35" s="49">
        <f>SourcedData!N17</f>
        <v>0.51</v>
      </c>
      <c r="I35" s="49">
        <f>SourcedData!O17</f>
        <v>0.51</v>
      </c>
      <c r="J35" s="49">
        <f>SourcedData!P17</f>
        <v>0.51</v>
      </c>
      <c r="K35" s="49">
        <f>SourcedData!Q17</f>
        <v>0.51</v>
      </c>
      <c r="L35" s="49">
        <f>SourcedData!R17</f>
        <v>0.51</v>
      </c>
      <c r="M35" s="49">
        <f>SourcedData!S17</f>
        <v>0.51</v>
      </c>
      <c r="N35" s="49">
        <f>SourcedData!T17</f>
        <v>0.51</v>
      </c>
      <c r="O35" s="49">
        <f>SourcedData!U17</f>
        <v>0.51</v>
      </c>
      <c r="P35" s="49">
        <f>SourcedData!V17</f>
        <v>0.51</v>
      </c>
      <c r="Q35" s="49">
        <f>SourcedData!W17</f>
        <v>0.51</v>
      </c>
      <c r="R35" s="49">
        <f>SourcedData!X17</f>
        <v>0.51</v>
      </c>
      <c r="S35" s="49">
        <f>SourcedData!Y17</f>
        <v>0.51</v>
      </c>
      <c r="T35" s="49">
        <f>SourcedData!Z17</f>
        <v>0.51</v>
      </c>
      <c r="U35" s="49">
        <f>SourcedData!AA17</f>
        <v>0.51</v>
      </c>
      <c r="V35" s="49">
        <f>SourcedData!AB17</f>
        <v>0.51</v>
      </c>
      <c r="W35" s="49">
        <f>SourcedData!AC17</f>
        <v>0.51</v>
      </c>
      <c r="X35" s="49">
        <f>SourcedData!AD17</f>
        <v>0.51</v>
      </c>
      <c r="Y35" s="49">
        <f>SourcedData!AE17</f>
        <v>0.51</v>
      </c>
      <c r="Z35" s="49">
        <f>SourcedData!AF17</f>
        <v>0.51</v>
      </c>
      <c r="AA35" s="49">
        <f>SourcedData!AG17</f>
        <v>0.51</v>
      </c>
      <c r="AB35" s="49">
        <f>SourcedData!AH17</f>
        <v>0.51</v>
      </c>
      <c r="AC35" s="49">
        <f>SourcedData!AI17</f>
        <v>0.51</v>
      </c>
      <c r="AD35" s="49">
        <f>SourcedData!AJ17</f>
        <v>0.51</v>
      </c>
      <c r="AE35" s="49">
        <f>SourcedData!AK17</f>
        <v>0.51</v>
      </c>
      <c r="AF35" s="49">
        <f>SourcedData!AL17</f>
        <v>0.51</v>
      </c>
      <c r="AG35" s="49">
        <f>SourcedData!AM17</f>
        <v>0.51</v>
      </c>
      <c r="AH35" s="49">
        <f>SourcedData!AN17</f>
        <v>0.51</v>
      </c>
      <c r="AI35" s="49">
        <f>SourcedData!AO17</f>
        <v>0.51</v>
      </c>
      <c r="AJ35" s="49">
        <f>SourcedData!AP17</f>
        <v>0.51</v>
      </c>
      <c r="AK35" s="49">
        <f>SourcedData!AQ17</f>
        <v>0.51</v>
      </c>
      <c r="AL35" s="49">
        <f>SourcedData!AR17</f>
        <v>0.51</v>
      </c>
      <c r="AM35" s="49">
        <f>SourcedData!AS17</f>
        <v>0.51</v>
      </c>
      <c r="AN35" s="49">
        <f>SourcedData!AT17</f>
        <v>0.51</v>
      </c>
      <c r="AO35" s="49">
        <f>SourcedData!AU17</f>
        <v>0.51</v>
      </c>
      <c r="AP35" s="49">
        <f>SourcedData!AV17</f>
        <v>0.51</v>
      </c>
      <c r="AQ35" s="49">
        <f>SourcedData!AW17</f>
        <v>0.51</v>
      </c>
      <c r="AR35" s="49">
        <f>SourcedData!AX17</f>
        <v>0.51</v>
      </c>
      <c r="AS35" s="49">
        <f>SourcedData!AY17</f>
        <v>0.51</v>
      </c>
      <c r="AT35" s="49">
        <f>SourcedData!AZ17</f>
        <v>0.51</v>
      </c>
      <c r="AU35" s="49">
        <f>SourcedData!BA17</f>
        <v>0.51</v>
      </c>
      <c r="AV35" s="49">
        <f>SourcedData!BB17</f>
        <v>0.51</v>
      </c>
      <c r="AW35" s="49">
        <f>SourcedData!BC17</f>
        <v>0.51</v>
      </c>
      <c r="AX35" s="49">
        <f>SourcedData!BD17</f>
        <v>0.51</v>
      </c>
      <c r="AY35" s="49">
        <f>SourcedData!BE17</f>
        <v>0.51</v>
      </c>
      <c r="AZ35" s="49">
        <f>SourcedData!BF17</f>
        <v>0.51</v>
      </c>
      <c r="BA35" s="49">
        <f>SourcedData!BG17</f>
        <v>0.51</v>
      </c>
      <c r="BB35" s="49">
        <f>SourcedData!BH17</f>
        <v>0.51</v>
      </c>
      <c r="BC35" s="49">
        <f>SourcedData!BI17</f>
        <v>0.51</v>
      </c>
      <c r="BD35" s="49">
        <f>SourcedData!BJ17</f>
        <v>0.51</v>
      </c>
      <c r="BE35" s="49">
        <f>SourcedData!BK17</f>
        <v>0.51</v>
      </c>
      <c r="BF35" s="49">
        <f>SourcedData!BL17</f>
        <v>0.51</v>
      </c>
      <c r="BG35" s="49">
        <f>SourcedData!BM17</f>
        <v>0.51</v>
      </c>
      <c r="BH35" s="1"/>
      <c r="BI35" s="22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L35" s="24"/>
      <c r="CM35" s="24"/>
      <c r="CN35" s="24"/>
      <c r="CO35" s="24"/>
      <c r="CT35" s="1"/>
      <c r="CU35" s="4"/>
      <c r="CV35" s="1"/>
      <c r="CW35" s="1"/>
      <c r="CX35" s="17"/>
      <c r="CY35" s="1"/>
      <c r="CZ35" s="1"/>
      <c r="DA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</row>
    <row r="36" spans="1:169" ht="13.5" customHeight="1" x14ac:dyDescent="0.2">
      <c r="A36" t="s">
        <v>99</v>
      </c>
      <c r="B36" t="s">
        <v>126</v>
      </c>
      <c r="C36" s="22"/>
      <c r="D36" s="49">
        <f>SourcedData!J18</f>
        <v>0.88200000000000001</v>
      </c>
      <c r="E36" s="49">
        <f>SourcedData!K18</f>
        <v>0.88200000000000001</v>
      </c>
      <c r="F36" s="49">
        <f>SourcedData!L18</f>
        <v>0.88200000000000001</v>
      </c>
      <c r="G36" s="49">
        <f>SourcedData!M18</f>
        <v>0.88200000000000001</v>
      </c>
      <c r="H36" s="49">
        <f>SourcedData!N18</f>
        <v>0.88200000000000001</v>
      </c>
      <c r="I36" s="49">
        <f>SourcedData!O18</f>
        <v>0.88200000000000001</v>
      </c>
      <c r="J36" s="49">
        <f>SourcedData!P18</f>
        <v>0.88200000000000001</v>
      </c>
      <c r="K36" s="49">
        <f>SourcedData!Q18</f>
        <v>0.88200000000000001</v>
      </c>
      <c r="L36" s="49">
        <f>SourcedData!R18</f>
        <v>0.88200000000000001</v>
      </c>
      <c r="M36" s="49">
        <f>SourcedData!S18</f>
        <v>0.88200000000000001</v>
      </c>
      <c r="N36" s="49">
        <f>SourcedData!T18</f>
        <v>0.88200000000000001</v>
      </c>
      <c r="O36" s="49">
        <f>SourcedData!U18</f>
        <v>0.88200000000000001</v>
      </c>
      <c r="P36" s="49">
        <f>SourcedData!V18</f>
        <v>0.88200000000000001</v>
      </c>
      <c r="Q36" s="49">
        <f>SourcedData!W18</f>
        <v>0.88200000000000001</v>
      </c>
      <c r="R36" s="49">
        <f>SourcedData!X18</f>
        <v>0.88200000000000001</v>
      </c>
      <c r="S36" s="49">
        <f>SourcedData!Y18</f>
        <v>0.88200000000000001</v>
      </c>
      <c r="T36" s="49">
        <f>SourcedData!Z18</f>
        <v>0.88200000000000001</v>
      </c>
      <c r="U36" s="49">
        <f>SourcedData!AA18</f>
        <v>0.88200000000000001</v>
      </c>
      <c r="V36" s="49">
        <f>SourcedData!AB18</f>
        <v>0.88200000000000001</v>
      </c>
      <c r="W36" s="49">
        <f>SourcedData!AC18</f>
        <v>0.88200000000000001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22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L36" s="24"/>
      <c r="CM36" s="24"/>
      <c r="CN36" s="24"/>
      <c r="CO36" s="24"/>
      <c r="CT36" s="1"/>
      <c r="CU36" s="4"/>
      <c r="CV36" s="1"/>
      <c r="CW36" s="1"/>
      <c r="CX36" s="17"/>
      <c r="CY36" s="1"/>
      <c r="CZ36" s="1"/>
      <c r="DA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</row>
    <row r="37" spans="1:169" ht="13.5" customHeight="1" x14ac:dyDescent="0.2">
      <c r="A37" t="s">
        <v>101</v>
      </c>
      <c r="B37" t="s">
        <v>126</v>
      </c>
      <c r="C37" s="22"/>
      <c r="D37" s="49">
        <f>SourcedData!J19</f>
        <v>0.7</v>
      </c>
      <c r="E37" s="49">
        <f>SourcedData!K19</f>
        <v>0.7</v>
      </c>
      <c r="F37" s="49">
        <f>SourcedData!L19</f>
        <v>0.7</v>
      </c>
      <c r="G37" s="49">
        <f>SourcedData!M19</f>
        <v>0.7</v>
      </c>
      <c r="H37" s="49">
        <f>SourcedData!N19</f>
        <v>0.7</v>
      </c>
      <c r="I37" s="49">
        <f>SourcedData!O19</f>
        <v>0.7</v>
      </c>
      <c r="J37" s="49">
        <f>SourcedData!P19</f>
        <v>0.7</v>
      </c>
      <c r="K37" s="49">
        <f>SourcedData!Q19</f>
        <v>0.7</v>
      </c>
      <c r="L37" s="49">
        <f>SourcedData!R19</f>
        <v>0.7</v>
      </c>
      <c r="M37" s="49">
        <f>SourcedData!S19</f>
        <v>0.7</v>
      </c>
      <c r="N37" s="49">
        <f>SourcedData!T19</f>
        <v>0.7</v>
      </c>
      <c r="O37" s="49">
        <f>SourcedData!U19</f>
        <v>0.7</v>
      </c>
      <c r="P37" s="49">
        <f>SourcedData!V19</f>
        <v>0.7</v>
      </c>
      <c r="Q37" s="49">
        <f>SourcedData!W19</f>
        <v>0.7</v>
      </c>
      <c r="R37" s="49">
        <f>SourcedData!X19</f>
        <v>0.7</v>
      </c>
      <c r="S37" s="49">
        <f>SourcedData!Y19</f>
        <v>0.7</v>
      </c>
      <c r="T37" s="49">
        <f>SourcedData!Z19</f>
        <v>0.7</v>
      </c>
      <c r="U37" s="49">
        <f>SourcedData!AA19</f>
        <v>0.7</v>
      </c>
      <c r="V37" s="49">
        <f>SourcedData!AB19</f>
        <v>0.7</v>
      </c>
      <c r="W37" s="12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22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L37" s="24"/>
      <c r="CM37" s="24"/>
      <c r="CN37" s="24"/>
      <c r="CO37" s="24"/>
      <c r="CT37" s="1"/>
      <c r="CU37" s="4"/>
      <c r="CV37" s="1"/>
      <c r="CW37" s="1"/>
      <c r="CX37" s="17"/>
      <c r="CY37" s="1"/>
      <c r="CZ37" s="1"/>
      <c r="DA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</row>
    <row r="38" spans="1:169" ht="13.5" customHeight="1" x14ac:dyDescent="0.2">
      <c r="A38" t="s">
        <v>132</v>
      </c>
      <c r="B38" t="s">
        <v>126</v>
      </c>
      <c r="C38" s="22"/>
      <c r="D38" s="49">
        <f>SourcedData!J20</f>
        <v>0.7</v>
      </c>
      <c r="E38" s="49">
        <f>SourcedData!K20</f>
        <v>0.7</v>
      </c>
      <c r="F38" s="49">
        <f>SourcedData!L20</f>
        <v>0.7</v>
      </c>
      <c r="G38" s="49">
        <f>SourcedData!M20</f>
        <v>0.7</v>
      </c>
      <c r="H38" s="49">
        <f>SourcedData!N20</f>
        <v>0.7</v>
      </c>
      <c r="I38" s="49">
        <f>SourcedData!O20</f>
        <v>0.7</v>
      </c>
      <c r="J38" s="49">
        <f>SourcedData!P20</f>
        <v>0.7</v>
      </c>
      <c r="K38" s="49">
        <f>SourcedData!Q20</f>
        <v>0.7</v>
      </c>
      <c r="L38" s="49">
        <f>SourcedData!R20</f>
        <v>0.7</v>
      </c>
      <c r="M38" s="49">
        <f>SourcedData!S20</f>
        <v>0.7</v>
      </c>
      <c r="N38" s="49">
        <f>SourcedData!T20</f>
        <v>0.7</v>
      </c>
      <c r="O38" s="49">
        <f>SourcedData!U20</f>
        <v>0.7</v>
      </c>
      <c r="P38" s="49">
        <f>SourcedData!V20</f>
        <v>0.7</v>
      </c>
      <c r="Q38" s="49">
        <f>SourcedData!W20</f>
        <v>0.7</v>
      </c>
      <c r="R38" s="49">
        <f>SourcedData!X20</f>
        <v>0.7</v>
      </c>
      <c r="S38" s="49">
        <f>SourcedData!Y20</f>
        <v>0.7</v>
      </c>
      <c r="T38" s="49">
        <f>SourcedData!Z20</f>
        <v>0.7</v>
      </c>
      <c r="U38" s="49">
        <f>SourcedData!AA20</f>
        <v>0.7</v>
      </c>
      <c r="V38" s="49">
        <f>SourcedData!AB20</f>
        <v>0.7</v>
      </c>
      <c r="W38" s="49">
        <f>SourcedData!AC20</f>
        <v>0.7</v>
      </c>
      <c r="X38" s="49">
        <f>SourcedData!AD20</f>
        <v>0.7</v>
      </c>
      <c r="Y38" s="49">
        <f>SourcedData!AE20</f>
        <v>0.7</v>
      </c>
      <c r="Z38" s="49">
        <f>SourcedData!AF20</f>
        <v>0.7</v>
      </c>
      <c r="AA38" s="49">
        <f>SourcedData!AG20</f>
        <v>0.7</v>
      </c>
      <c r="AB38" s="49">
        <f>SourcedData!AH20</f>
        <v>0.7</v>
      </c>
      <c r="AC38" s="49">
        <f>SourcedData!AI20</f>
        <v>0.7</v>
      </c>
      <c r="AD38" s="49">
        <f>SourcedData!AJ20</f>
        <v>0.7</v>
      </c>
      <c r="AE38" s="49">
        <f>SourcedData!AK20</f>
        <v>0.7</v>
      </c>
      <c r="AF38" s="49">
        <f>SourcedData!AL20</f>
        <v>0.7</v>
      </c>
      <c r="AG38" s="49">
        <f>SourcedData!AM20</f>
        <v>0.7</v>
      </c>
      <c r="AH38" s="49">
        <f>SourcedData!AN20</f>
        <v>0.7</v>
      </c>
      <c r="AI38" s="49">
        <f>SourcedData!AO20</f>
        <v>0.7</v>
      </c>
      <c r="AJ38" s="49">
        <f>SourcedData!AP20</f>
        <v>0.7</v>
      </c>
      <c r="AK38" s="49">
        <f>SourcedData!AQ20</f>
        <v>0.7</v>
      </c>
      <c r="AL38" s="49">
        <f>SourcedData!AR20</f>
        <v>0.7</v>
      </c>
      <c r="AM38" s="49">
        <f>SourcedData!AS20</f>
        <v>0.7</v>
      </c>
      <c r="AN38" s="49">
        <f>SourcedData!AT20</f>
        <v>0.7</v>
      </c>
      <c r="AO38" s="49">
        <f>SourcedData!AU20</f>
        <v>0.7</v>
      </c>
      <c r="AP38" s="49">
        <f>SourcedData!AV20</f>
        <v>0.7</v>
      </c>
      <c r="AQ38" s="49">
        <f>SourcedData!AW20</f>
        <v>0.7</v>
      </c>
      <c r="AR38" s="49">
        <f>SourcedData!AX20</f>
        <v>0.7</v>
      </c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22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L38" s="24"/>
      <c r="CM38" s="24"/>
      <c r="CN38" s="24"/>
      <c r="CO38" s="24"/>
      <c r="CT38" s="1"/>
      <c r="CU38" s="4"/>
      <c r="CV38" s="1"/>
      <c r="CW38" s="1"/>
      <c r="CX38" s="17"/>
      <c r="CY38" s="1"/>
      <c r="CZ38" s="1"/>
      <c r="DA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</row>
    <row r="39" spans="1:169" ht="13.5" customHeight="1" x14ac:dyDescent="0.2">
      <c r="A39" t="s">
        <v>105</v>
      </c>
      <c r="B39" t="s">
        <v>126</v>
      </c>
      <c r="C39" s="22"/>
      <c r="D39" s="49">
        <f>SourcedData!J21</f>
        <v>1</v>
      </c>
      <c r="E39" s="49">
        <f>SourcedData!K21</f>
        <v>1</v>
      </c>
      <c r="F39" s="49">
        <f>SourcedData!L21</f>
        <v>1</v>
      </c>
      <c r="G39" s="49">
        <f>SourcedData!M21</f>
        <v>1</v>
      </c>
      <c r="H39" s="49">
        <f>SourcedData!N21</f>
        <v>1</v>
      </c>
      <c r="I39" s="49">
        <f>SourcedData!O21</f>
        <v>1</v>
      </c>
      <c r="J39" s="49">
        <f>SourcedData!P21</f>
        <v>1</v>
      </c>
      <c r="K39" s="49">
        <f>SourcedData!Q21</f>
        <v>1</v>
      </c>
      <c r="L39" s="49">
        <f>SourcedData!R21</f>
        <v>1</v>
      </c>
      <c r="M39" s="49">
        <f>SourcedData!S21</f>
        <v>1</v>
      </c>
      <c r="N39" s="49">
        <f>SourcedData!T21</f>
        <v>1</v>
      </c>
      <c r="O39" s="49">
        <f>SourcedData!U21</f>
        <v>1</v>
      </c>
      <c r="P39" s="49">
        <f>SourcedData!V21</f>
        <v>1</v>
      </c>
      <c r="Q39" s="49">
        <f>SourcedData!W21</f>
        <v>1</v>
      </c>
      <c r="R39" s="49">
        <f>SourcedData!X21</f>
        <v>1</v>
      </c>
      <c r="S39" s="49">
        <f>SourcedData!Y21</f>
        <v>1</v>
      </c>
      <c r="T39" s="49">
        <f>SourcedData!Z21</f>
        <v>1</v>
      </c>
      <c r="U39" s="49">
        <f>SourcedData!AA21</f>
        <v>1</v>
      </c>
      <c r="V39" s="49">
        <f>SourcedData!AB21</f>
        <v>1</v>
      </c>
      <c r="W39" s="49">
        <f>SourcedData!AC21</f>
        <v>1</v>
      </c>
      <c r="X39" s="49">
        <f>SourcedData!AD21</f>
        <v>1</v>
      </c>
      <c r="Y39" s="49">
        <f>SourcedData!AE21</f>
        <v>1</v>
      </c>
      <c r="Z39" s="49">
        <f>SourcedData!AF21</f>
        <v>1</v>
      </c>
      <c r="AA39" s="49">
        <f>SourcedData!AG21</f>
        <v>1</v>
      </c>
      <c r="AB39" s="49">
        <f>SourcedData!AH21</f>
        <v>1</v>
      </c>
      <c r="AC39" s="49">
        <f>SourcedData!AI21</f>
        <v>1</v>
      </c>
      <c r="AD39" s="49">
        <f>SourcedData!AJ21</f>
        <v>1</v>
      </c>
      <c r="AE39" s="49">
        <f>SourcedData!AK21</f>
        <v>1</v>
      </c>
      <c r="AF39" s="49">
        <f>SourcedData!AL21</f>
        <v>1</v>
      </c>
      <c r="AG39" s="49">
        <f>SourcedData!AM21</f>
        <v>1</v>
      </c>
      <c r="AH39" s="49">
        <f>SourcedData!AN21</f>
        <v>1</v>
      </c>
      <c r="AI39" s="49">
        <f>SourcedData!AO21</f>
        <v>1</v>
      </c>
      <c r="AJ39" s="49">
        <f>SourcedData!AP21</f>
        <v>1</v>
      </c>
      <c r="AK39" s="49">
        <f>SourcedData!AQ21</f>
        <v>1</v>
      </c>
      <c r="AL39" s="49">
        <f>SourcedData!AR21</f>
        <v>1</v>
      </c>
      <c r="AM39" s="82">
        <f>SourcedData!AS21</f>
        <v>0.88</v>
      </c>
      <c r="AN39" s="49">
        <f>SourcedData!AT21</f>
        <v>0.88</v>
      </c>
      <c r="AO39" s="49">
        <f>SourcedData!AU21</f>
        <v>0.88</v>
      </c>
      <c r="AP39" s="49">
        <f>SourcedData!AV21</f>
        <v>0.88</v>
      </c>
      <c r="AQ39" s="49">
        <f>SourcedData!AW21</f>
        <v>0.88</v>
      </c>
      <c r="AR39" s="49">
        <f>SourcedData!AX21</f>
        <v>0.88</v>
      </c>
      <c r="AS39" s="49">
        <f>SourcedData!AY21</f>
        <v>0.88</v>
      </c>
      <c r="AT39" s="49">
        <f>SourcedData!AZ21</f>
        <v>0.88</v>
      </c>
      <c r="AU39" s="49">
        <f>SourcedData!BA21</f>
        <v>0.88</v>
      </c>
      <c r="AV39" s="49">
        <f>SourcedData!BB21</f>
        <v>0.88</v>
      </c>
      <c r="AW39" s="49">
        <f>SourcedData!BC21</f>
        <v>0.88</v>
      </c>
      <c r="AX39" s="49">
        <f>SourcedData!BD21</f>
        <v>0.88</v>
      </c>
      <c r="AY39" s="49">
        <f>SourcedData!BE21</f>
        <v>0.88</v>
      </c>
      <c r="AZ39" s="49">
        <f>SourcedData!BF21</f>
        <v>0.88</v>
      </c>
      <c r="BA39" s="49">
        <f>SourcedData!BG21</f>
        <v>0.88</v>
      </c>
      <c r="BB39" s="49">
        <f>SourcedData!BH21</f>
        <v>0.88</v>
      </c>
      <c r="BC39" s="49">
        <f>SourcedData!BI21</f>
        <v>0.88</v>
      </c>
      <c r="BD39" s="49"/>
      <c r="BE39" s="49"/>
      <c r="BF39" s="49"/>
      <c r="BG39" s="49"/>
      <c r="BH39" s="1"/>
      <c r="BI39" s="22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L39" s="24"/>
      <c r="CM39" s="24"/>
      <c r="CN39" s="24"/>
      <c r="CO39" s="24"/>
      <c r="CT39" s="1"/>
      <c r="CU39" s="4"/>
      <c r="CV39" s="1"/>
      <c r="CW39" s="1"/>
      <c r="CX39" s="17"/>
      <c r="CY39" s="1"/>
      <c r="CZ39" s="1"/>
      <c r="DA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</row>
    <row r="40" spans="1:169" ht="13.5" customHeight="1" x14ac:dyDescent="0.2">
      <c r="A40" t="s">
        <v>128</v>
      </c>
      <c r="B40" t="s">
        <v>126</v>
      </c>
      <c r="C40" s="22"/>
      <c r="D40" s="49">
        <f>SourcedData!J22</f>
        <v>0.23300000000000001</v>
      </c>
      <c r="E40" s="49">
        <f>SourcedData!K22</f>
        <v>0.23300000000000001</v>
      </c>
      <c r="F40" s="49">
        <f>SourcedData!L22</f>
        <v>0.23300000000000001</v>
      </c>
      <c r="G40" s="49">
        <f>SourcedData!M22</f>
        <v>0.23300000000000001</v>
      </c>
      <c r="H40" s="49">
        <f>SourcedData!N22</f>
        <v>0.23300000000000001</v>
      </c>
      <c r="I40" s="49">
        <f>SourcedData!O22</f>
        <v>0.23300000000000001</v>
      </c>
      <c r="J40" s="49">
        <f>SourcedData!P22</f>
        <v>0.23300000000000001</v>
      </c>
      <c r="K40" s="49">
        <f>SourcedData!Q22</f>
        <v>0.23300000000000001</v>
      </c>
      <c r="L40" s="49">
        <f>SourcedData!R22</f>
        <v>0.23300000000000001</v>
      </c>
      <c r="M40" s="49">
        <f>SourcedData!S22</f>
        <v>0.23300000000000001</v>
      </c>
      <c r="N40" s="49">
        <f>SourcedData!T22</f>
        <v>0.23300000000000001</v>
      </c>
      <c r="O40" s="49">
        <f>SourcedData!U22</f>
        <v>0.23300000000000001</v>
      </c>
      <c r="P40" s="49">
        <f>SourcedData!V22</f>
        <v>0.23300000000000001</v>
      </c>
      <c r="Q40" s="49">
        <f>SourcedData!W22</f>
        <v>0.23300000000000001</v>
      </c>
      <c r="R40" s="49">
        <f>SourcedData!X22</f>
        <v>0.23300000000000001</v>
      </c>
      <c r="S40" s="49">
        <f>SourcedData!Y22</f>
        <v>0.23300000000000001</v>
      </c>
      <c r="T40" s="49">
        <f>SourcedData!Z22</f>
        <v>0.23300000000000001</v>
      </c>
      <c r="U40" s="49">
        <f>SourcedData!AA22</f>
        <v>0.23300000000000001</v>
      </c>
      <c r="V40" s="49">
        <f>SourcedData!AB22</f>
        <v>0.23300000000000001</v>
      </c>
      <c r="W40" s="49">
        <f>SourcedData!AC22</f>
        <v>0.23300000000000001</v>
      </c>
      <c r="X40" s="49">
        <f>SourcedData!AD22</f>
        <v>0.23300000000000001</v>
      </c>
      <c r="Y40" s="49">
        <f>SourcedData!AE22</f>
        <v>0.23300000000000001</v>
      </c>
      <c r="Z40" s="49">
        <f>SourcedData!AF22</f>
        <v>0.23300000000000001</v>
      </c>
      <c r="AA40" s="49">
        <f>SourcedData!AG22</f>
        <v>0.23300000000000001</v>
      </c>
      <c r="AB40" s="49">
        <f>SourcedData!AH22</f>
        <v>0.23300000000000001</v>
      </c>
      <c r="AC40" s="49">
        <f>SourcedData!AI22</f>
        <v>0.23300000000000001</v>
      </c>
      <c r="AD40" s="49">
        <f>SourcedData!AJ22</f>
        <v>0.23300000000000001</v>
      </c>
      <c r="AE40" s="49">
        <f>SourcedData!AK22</f>
        <v>0.23300000000000001</v>
      </c>
      <c r="AF40" s="49">
        <f>SourcedData!AL22</f>
        <v>0.23300000000000001</v>
      </c>
      <c r="AG40" s="49">
        <f>SourcedData!AM22</f>
        <v>0.23300000000000001</v>
      </c>
      <c r="AH40" s="49">
        <f>SourcedData!AN22</f>
        <v>0.23300000000000001</v>
      </c>
      <c r="AI40" s="49">
        <f>SourcedData!AO22</f>
        <v>0.23300000000000001</v>
      </c>
      <c r="AJ40" s="49">
        <f>SourcedData!AP22</f>
        <v>0.23300000000000001</v>
      </c>
      <c r="AK40" s="49">
        <f>SourcedData!AQ22</f>
        <v>0.23300000000000001</v>
      </c>
      <c r="AL40" s="49">
        <f>SourcedData!AR22</f>
        <v>0.23300000000000001</v>
      </c>
      <c r="AM40" s="49">
        <f>SourcedData!AS22</f>
        <v>0.23300000000000001</v>
      </c>
      <c r="AN40" s="49">
        <f>SourcedData!AT22</f>
        <v>0.23300000000000001</v>
      </c>
      <c r="AO40" s="49">
        <f>SourcedData!AU22</f>
        <v>0.23300000000000001</v>
      </c>
      <c r="AP40" s="49">
        <f>SourcedData!AV22</f>
        <v>0.23300000000000001</v>
      </c>
      <c r="AQ40" s="49">
        <f>SourcedData!AW22</f>
        <v>0.23300000000000001</v>
      </c>
      <c r="AR40" s="49">
        <f>SourcedData!AX22</f>
        <v>0.23300000000000001</v>
      </c>
      <c r="AS40" s="49">
        <f>SourcedData!AY22</f>
        <v>0.23300000000000001</v>
      </c>
      <c r="AT40" s="49">
        <f>SourcedData!AZ22</f>
        <v>0.23300000000000001</v>
      </c>
      <c r="AU40" s="49">
        <f>SourcedData!BA22</f>
        <v>0.23300000000000001</v>
      </c>
      <c r="AV40" s="49">
        <f>SourcedData!BB22</f>
        <v>0.23300000000000001</v>
      </c>
      <c r="AW40" s="49">
        <f>SourcedData!BC22</f>
        <v>0.23300000000000001</v>
      </c>
      <c r="AX40" s="49">
        <f>SourcedData!BD22</f>
        <v>0.23300000000000001</v>
      </c>
      <c r="AY40" s="49">
        <f>SourcedData!BE22</f>
        <v>0.23300000000000001</v>
      </c>
      <c r="AZ40" s="49">
        <f>SourcedData!BF22</f>
        <v>0.23300000000000001</v>
      </c>
      <c r="BA40" s="49">
        <f>SourcedData!BG22</f>
        <v>0.23300000000000001</v>
      </c>
      <c r="BB40" s="49">
        <f>SourcedData!BH22</f>
        <v>0.23300000000000001</v>
      </c>
      <c r="BC40" s="49">
        <f>SourcedData!BI22</f>
        <v>0.23300000000000001</v>
      </c>
      <c r="BD40" s="49"/>
      <c r="BE40" s="49"/>
      <c r="BF40" s="49"/>
      <c r="BG40" s="49"/>
      <c r="BH40" s="1"/>
      <c r="BI40" s="22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L40" s="24"/>
      <c r="CM40" s="24"/>
      <c r="CN40" s="24"/>
      <c r="CO40" s="24"/>
      <c r="CT40" s="1"/>
      <c r="CU40" s="4"/>
      <c r="CV40" s="1"/>
      <c r="CW40" s="1"/>
      <c r="CX40" s="17"/>
      <c r="CY40" s="1"/>
      <c r="CZ40" s="1"/>
      <c r="DA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</row>
    <row r="41" spans="1:169" ht="13.5" customHeight="1" x14ac:dyDescent="0.2">
      <c r="A41" t="s">
        <v>133</v>
      </c>
      <c r="B41" t="s">
        <v>126</v>
      </c>
      <c r="C41" s="22"/>
      <c r="D41" s="49">
        <f>SourcedData!J23</f>
        <v>0.76800000000000002</v>
      </c>
      <c r="E41" s="49">
        <f>SourcedData!K23</f>
        <v>0.76800000000000002</v>
      </c>
      <c r="F41" s="49">
        <f>SourcedData!L23</f>
        <v>0.76800000000000002</v>
      </c>
      <c r="G41" s="49">
        <f>SourcedData!M23</f>
        <v>0.76800000000000002</v>
      </c>
      <c r="H41" s="49">
        <f>SourcedData!N23</f>
        <v>0.77500000000000002</v>
      </c>
      <c r="I41" s="49">
        <f>SourcedData!O23</f>
        <v>0.77500000000000002</v>
      </c>
      <c r="J41" s="49">
        <f>SourcedData!P23</f>
        <v>0.77500000000000002</v>
      </c>
      <c r="K41" s="49">
        <f>SourcedData!Q23</f>
        <v>0.77500000000000002</v>
      </c>
      <c r="L41" s="49">
        <f>SourcedData!R23</f>
        <v>0.77500000000000002</v>
      </c>
      <c r="M41" s="49">
        <f>SourcedData!S23</f>
        <v>0.77500000000000002</v>
      </c>
      <c r="N41" s="49">
        <f>SourcedData!T23</f>
        <v>0.77500000000000002</v>
      </c>
      <c r="O41" s="49">
        <f>SourcedData!U23</f>
        <v>0.77500000000000002</v>
      </c>
      <c r="P41" s="49">
        <f>SourcedData!V23</f>
        <v>0.77600000000000002</v>
      </c>
      <c r="Q41" s="49">
        <f>SourcedData!W23</f>
        <v>0.77600000000000002</v>
      </c>
      <c r="R41" s="49">
        <f>SourcedData!X23</f>
        <v>0.77600000000000002</v>
      </c>
      <c r="S41" s="49">
        <f>SourcedData!Y23</f>
        <v>0.77600000000000002</v>
      </c>
      <c r="T41" s="49">
        <f>SourcedData!Z23</f>
        <v>0.78300000000000003</v>
      </c>
      <c r="U41" s="49">
        <f>SourcedData!AA23</f>
        <v>0.78300000000000003</v>
      </c>
      <c r="V41" s="49">
        <f>SourcedData!AB23</f>
        <v>0.78300000000000003</v>
      </c>
      <c r="W41" s="49">
        <f>SourcedData!AC23</f>
        <v>0.78300000000000003</v>
      </c>
      <c r="X41" s="49">
        <f>SourcedData!AD23</f>
        <v>0.78600000000000003</v>
      </c>
      <c r="Y41" s="49">
        <f>SourcedData!AE23</f>
        <v>0.78600000000000003</v>
      </c>
      <c r="Z41" s="49">
        <f>SourcedData!AF23</f>
        <v>0.78600000000000003</v>
      </c>
      <c r="AA41" s="49">
        <f>SourcedData!AG23</f>
        <v>0.78600000000000003</v>
      </c>
      <c r="AB41" s="49">
        <f>SourcedData!AH23</f>
        <v>0.77900000000000003</v>
      </c>
      <c r="AC41" s="49">
        <f>SourcedData!AI23</f>
        <v>0.77900000000000003</v>
      </c>
      <c r="AD41" s="49">
        <f>SourcedData!AJ23</f>
        <v>0.77900000000000003</v>
      </c>
      <c r="AE41" s="49">
        <f>SourcedData!AK23</f>
        <v>0.77900000000000003</v>
      </c>
      <c r="AF41" s="49">
        <f>SourcedData!AL23</f>
        <v>0.78200000000000003</v>
      </c>
      <c r="AG41" s="49">
        <f>SourcedData!AM23</f>
        <v>0.78200000000000003</v>
      </c>
      <c r="AH41" s="49">
        <f>SourcedData!AN23</f>
        <v>0.78200000000000003</v>
      </c>
      <c r="AI41" s="49">
        <f>SourcedData!AO23</f>
        <v>0.78200000000000003</v>
      </c>
      <c r="AJ41" s="49">
        <f>SourcedData!AP23</f>
        <v>0.78600000000000003</v>
      </c>
      <c r="AK41" s="49">
        <f>SourcedData!AQ23</f>
        <v>0.78600000000000003</v>
      </c>
      <c r="AL41" s="49">
        <f>SourcedData!AR23</f>
        <v>0.78600000000000003</v>
      </c>
      <c r="AM41" s="49">
        <f>SourcedData!AS23</f>
        <v>0.78600000000000003</v>
      </c>
      <c r="AN41" s="49">
        <f>SourcedData!AT23</f>
        <v>0.79200000000000004</v>
      </c>
      <c r="AO41" s="49">
        <f>SourcedData!AU23</f>
        <v>0.79200000000000004</v>
      </c>
      <c r="AP41" s="49">
        <f>SourcedData!AV23</f>
        <v>0.79200000000000004</v>
      </c>
      <c r="AQ41" s="49">
        <f>SourcedData!AW23</f>
        <v>0.79200000000000004</v>
      </c>
      <c r="AR41" s="82">
        <f>SourcedData!AX23</f>
        <v>0.79200000000000004</v>
      </c>
      <c r="AS41" s="82">
        <f>SourcedData!AY23</f>
        <v>0.79200000000000004</v>
      </c>
      <c r="AT41" s="82">
        <f>SourcedData!AZ23</f>
        <v>0.79200000000000004</v>
      </c>
      <c r="AU41" s="82">
        <f>SourcedData!BA23</f>
        <v>0.79200000000000004</v>
      </c>
      <c r="AV41" s="82">
        <f>SourcedData!BB23</f>
        <v>0.79200000000000004</v>
      </c>
      <c r="AW41" s="82">
        <f>SourcedData!BC23</f>
        <v>0.79200000000000004</v>
      </c>
      <c r="AX41" s="82">
        <f>SourcedData!BD23</f>
        <v>0.79200000000000004</v>
      </c>
      <c r="AY41" s="82">
        <f>SourcedData!BE23</f>
        <v>0.79200000000000004</v>
      </c>
      <c r="AZ41" s="82">
        <f>SourcedData!BF23</f>
        <v>0.79200000000000004</v>
      </c>
      <c r="BA41" s="82">
        <f>SourcedData!BG23</f>
        <v>0.79200000000000004</v>
      </c>
      <c r="BB41" s="82">
        <f>SourcedData!BH23</f>
        <v>0.79200000000000004</v>
      </c>
      <c r="BC41" s="82">
        <f>SourcedData!BI23</f>
        <v>0.79200000000000004</v>
      </c>
      <c r="BD41" s="82">
        <f>SourcedData!BJ23</f>
        <v>0.79200000000000004</v>
      </c>
      <c r="BE41" s="82">
        <f>SourcedData!BK23</f>
        <v>0.79200000000000004</v>
      </c>
      <c r="BF41" s="82">
        <f>SourcedData!BL23</f>
        <v>0.79200000000000004</v>
      </c>
      <c r="BG41" s="82">
        <f>SourcedData!BM23</f>
        <v>0.79200000000000004</v>
      </c>
      <c r="BH41" s="1"/>
      <c r="BI41" s="22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L41" s="24"/>
      <c r="CM41" s="24"/>
      <c r="CN41" s="24"/>
      <c r="CO41" s="24"/>
      <c r="CT41" s="1"/>
      <c r="CU41" s="4"/>
      <c r="CV41" s="1"/>
      <c r="CW41" s="1"/>
      <c r="CX41" s="17"/>
      <c r="CY41" s="1"/>
      <c r="CZ41" s="1"/>
      <c r="DA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</row>
    <row r="42" spans="1:169" ht="13.5" customHeight="1" x14ac:dyDescent="0.2">
      <c r="A42" t="s">
        <v>122</v>
      </c>
      <c r="B42" t="s">
        <v>126</v>
      </c>
      <c r="C42" s="22"/>
      <c r="D42" s="49">
        <f>SourcedData!J24</f>
        <v>0.23300000000000001</v>
      </c>
      <c r="E42" s="49">
        <f>SourcedData!K24</f>
        <v>0.23300000000000001</v>
      </c>
      <c r="F42" s="49">
        <f>SourcedData!L24</f>
        <v>0.23300000000000001</v>
      </c>
      <c r="G42" s="49">
        <f>SourcedData!M24</f>
        <v>0.23300000000000001</v>
      </c>
      <c r="H42" s="49">
        <f>SourcedData!N24</f>
        <v>0.23300000000000001</v>
      </c>
      <c r="I42" s="49">
        <f>SourcedData!O24</f>
        <v>0.23300000000000001</v>
      </c>
      <c r="J42" s="49">
        <f>SourcedData!P24</f>
        <v>0.23300000000000001</v>
      </c>
      <c r="K42" s="49">
        <f>SourcedData!Q24</f>
        <v>0.23300000000000001</v>
      </c>
      <c r="L42" s="49">
        <f>SourcedData!R24</f>
        <v>0.23300000000000001</v>
      </c>
      <c r="M42" s="49">
        <f>SourcedData!S24</f>
        <v>0.23300000000000001</v>
      </c>
      <c r="N42" s="49">
        <f>SourcedData!T24</f>
        <v>0.23300000000000001</v>
      </c>
      <c r="O42" s="49">
        <f>SourcedData!U24</f>
        <v>0.23300000000000001</v>
      </c>
      <c r="P42" s="49">
        <f>SourcedData!V24</f>
        <v>0.23300000000000001</v>
      </c>
      <c r="Q42" s="49">
        <f>SourcedData!W24</f>
        <v>0.23300000000000001</v>
      </c>
      <c r="R42" s="49">
        <f>SourcedData!X24</f>
        <v>0.23300000000000001</v>
      </c>
      <c r="S42" s="49">
        <f>SourcedData!Y24</f>
        <v>0.23300000000000001</v>
      </c>
      <c r="T42" s="49">
        <f>SourcedData!Z24</f>
        <v>0.23300000000000001</v>
      </c>
      <c r="U42" s="49">
        <f>SourcedData!AA24</f>
        <v>0.23300000000000001</v>
      </c>
      <c r="V42" s="49">
        <f>SourcedData!AB24</f>
        <v>0.23300000000000001</v>
      </c>
      <c r="W42" s="49">
        <f>SourcedData!AC24</f>
        <v>0.23300000000000001</v>
      </c>
      <c r="X42" s="49">
        <f>SourcedData!AD24</f>
        <v>0.23300000000000001</v>
      </c>
      <c r="Y42" s="49">
        <f>SourcedData!AE24</f>
        <v>0.23300000000000001</v>
      </c>
      <c r="Z42" s="49">
        <f>SourcedData!AF24</f>
        <v>0.23300000000000001</v>
      </c>
      <c r="AA42" s="49">
        <f>SourcedData!AG24</f>
        <v>0.23300000000000001</v>
      </c>
      <c r="AB42" s="49">
        <f>SourcedData!AH24</f>
        <v>0.23300000000000001</v>
      </c>
      <c r="AC42" s="49">
        <f>SourcedData!AI24</f>
        <v>0.23300000000000001</v>
      </c>
      <c r="AD42" s="49">
        <f>SourcedData!AJ24</f>
        <v>0.23300000000000001</v>
      </c>
      <c r="AE42" s="49">
        <f>SourcedData!AK24</f>
        <v>0.23300000000000001</v>
      </c>
      <c r="AF42" s="49">
        <f>SourcedData!AL24</f>
        <v>0.23300000000000001</v>
      </c>
      <c r="AG42" s="49">
        <f>SourcedData!AM24</f>
        <v>0.23300000000000001</v>
      </c>
      <c r="AH42" s="49">
        <f>SourcedData!AN24</f>
        <v>0.23300000000000001</v>
      </c>
      <c r="AI42" s="49">
        <f>SourcedData!AO24</f>
        <v>0.23300000000000001</v>
      </c>
      <c r="AJ42" s="49">
        <f>SourcedData!AP24</f>
        <v>0.23300000000000001</v>
      </c>
      <c r="AK42" s="49">
        <f>SourcedData!AQ24</f>
        <v>0.23300000000000001</v>
      </c>
      <c r="AL42" s="49">
        <f>SourcedData!AR24</f>
        <v>0.23300000000000001</v>
      </c>
      <c r="AM42" s="49">
        <f>SourcedData!AS24</f>
        <v>0.23300000000000001</v>
      </c>
      <c r="AN42" s="49">
        <f>SourcedData!AT24</f>
        <v>0.23300000000000001</v>
      </c>
      <c r="AO42" s="49">
        <f>SourcedData!AU24</f>
        <v>0.23300000000000001</v>
      </c>
      <c r="AP42" s="49">
        <f>SourcedData!AV24</f>
        <v>0.23300000000000001</v>
      </c>
      <c r="AQ42" s="49">
        <f>SourcedData!AW24</f>
        <v>0.23300000000000001</v>
      </c>
      <c r="AR42" s="49">
        <f>SourcedData!AX24</f>
        <v>0.23300000000000001</v>
      </c>
      <c r="AS42" s="49">
        <f>SourcedData!AY24</f>
        <v>0.23300000000000001</v>
      </c>
      <c r="AT42" s="49">
        <f>SourcedData!AZ24</f>
        <v>0.23300000000000001</v>
      </c>
      <c r="AU42" s="49">
        <f>SourcedData!BA24</f>
        <v>0.23300000000000001</v>
      </c>
      <c r="AV42" s="49">
        <f>SourcedData!BB24</f>
        <v>0.23300000000000001</v>
      </c>
      <c r="AW42" s="49">
        <f>SourcedData!BC24</f>
        <v>0.23300000000000001</v>
      </c>
      <c r="AX42" s="49">
        <f>SourcedData!BD24</f>
        <v>0.23300000000000001</v>
      </c>
      <c r="AY42" s="49">
        <f>SourcedData!BE24</f>
        <v>0.23300000000000001</v>
      </c>
      <c r="AZ42" s="49">
        <f>SourcedData!BF24</f>
        <v>0.23300000000000001</v>
      </c>
      <c r="BA42" s="49">
        <f>SourcedData!BG24</f>
        <v>0.23300000000000001</v>
      </c>
      <c r="BB42" s="49">
        <f>SourcedData!BH24</f>
        <v>0.23300000000000001</v>
      </c>
      <c r="BC42" s="49">
        <f>SourcedData!BI24</f>
        <v>0.23300000000000001</v>
      </c>
      <c r="BD42" s="49"/>
      <c r="BE42" s="49"/>
      <c r="BF42" s="49"/>
      <c r="BG42" s="49"/>
      <c r="BH42" s="1"/>
      <c r="BI42" s="22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L42" s="24"/>
      <c r="CM42" s="24"/>
      <c r="CN42" s="24"/>
      <c r="CO42" s="24"/>
      <c r="CT42" s="1"/>
      <c r="CU42" s="4"/>
      <c r="CV42" s="1"/>
      <c r="CW42" s="1"/>
      <c r="CX42" s="17"/>
      <c r="CY42" s="1"/>
      <c r="CZ42" s="1"/>
      <c r="DA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</row>
    <row r="43" spans="1:169" ht="13.5" customHeight="1" x14ac:dyDescent="0.2">
      <c r="A43" t="s">
        <v>104</v>
      </c>
      <c r="B43" t="s">
        <v>126</v>
      </c>
      <c r="C43" s="22"/>
      <c r="D43" s="49">
        <f>SourcedData!J25</f>
        <v>0.88</v>
      </c>
      <c r="E43" s="49">
        <f>SourcedData!K25</f>
        <v>0.88</v>
      </c>
      <c r="F43" s="49">
        <f>SourcedData!L25</f>
        <v>0.88</v>
      </c>
      <c r="G43" s="49">
        <f>SourcedData!M25</f>
        <v>0.88</v>
      </c>
      <c r="H43" s="49">
        <f>SourcedData!N25</f>
        <v>0.88</v>
      </c>
      <c r="I43" s="49">
        <f>SourcedData!O25</f>
        <v>0.88</v>
      </c>
      <c r="J43" s="49">
        <f>SourcedData!P25</f>
        <v>0.88</v>
      </c>
      <c r="K43" s="49">
        <f>SourcedData!Q25</f>
        <v>0.88</v>
      </c>
      <c r="L43" s="49">
        <f>SourcedData!R25</f>
        <v>0.88</v>
      </c>
      <c r="M43" s="49">
        <f>SourcedData!S25</f>
        <v>0.88</v>
      </c>
      <c r="N43" s="49">
        <f>SourcedData!T25</f>
        <v>0.88</v>
      </c>
      <c r="O43" s="49">
        <f>SourcedData!U25</f>
        <v>0.88</v>
      </c>
      <c r="P43" s="49">
        <f>SourcedData!V25</f>
        <v>0.88</v>
      </c>
      <c r="Q43" s="49">
        <f>SourcedData!W25</f>
        <v>0.88</v>
      </c>
      <c r="R43" s="49">
        <f>SourcedData!X25</f>
        <v>0.88</v>
      </c>
      <c r="S43" s="49">
        <f>SourcedData!Y25</f>
        <v>0.88</v>
      </c>
      <c r="T43" s="49">
        <f>SourcedData!Z25</f>
        <v>0.88</v>
      </c>
      <c r="U43" s="49">
        <f>SourcedData!AA25</f>
        <v>0.88</v>
      </c>
      <c r="V43" s="49">
        <f>SourcedData!AB25</f>
        <v>0.88</v>
      </c>
      <c r="W43" s="49">
        <f>SourcedData!AC25</f>
        <v>0.88</v>
      </c>
      <c r="X43" s="49">
        <f>SourcedData!AD25</f>
        <v>0.88</v>
      </c>
      <c r="Y43" s="49">
        <f>SourcedData!AE25</f>
        <v>0.88</v>
      </c>
      <c r="Z43" s="49">
        <f>SourcedData!AF25</f>
        <v>0.88</v>
      </c>
      <c r="AA43" s="49">
        <f>SourcedData!AG25</f>
        <v>0.88</v>
      </c>
      <c r="AB43" s="49">
        <f>SourcedData!AH25</f>
        <v>0.88</v>
      </c>
      <c r="AC43" s="49">
        <f>SourcedData!AI25</f>
        <v>0.88</v>
      </c>
      <c r="AD43" s="49">
        <f>SourcedData!AJ25</f>
        <v>0.88</v>
      </c>
      <c r="AE43" s="49">
        <f>SourcedData!AK25</f>
        <v>0.88</v>
      </c>
      <c r="AF43" s="49">
        <f>SourcedData!AL25</f>
        <v>0.88</v>
      </c>
      <c r="AG43" s="49">
        <f>SourcedData!AM25</f>
        <v>0.88</v>
      </c>
      <c r="AH43" s="49">
        <f>SourcedData!AN25</f>
        <v>0.88</v>
      </c>
      <c r="AI43" s="49">
        <f>SourcedData!AO25</f>
        <v>0.88</v>
      </c>
      <c r="AJ43" s="49">
        <f>SourcedData!AP25</f>
        <v>0.88</v>
      </c>
      <c r="AK43" s="49">
        <f>SourcedData!AQ25</f>
        <v>0.88</v>
      </c>
      <c r="AL43" s="49">
        <f>SourcedData!AR25</f>
        <v>0.88</v>
      </c>
      <c r="AM43" s="49">
        <f>SourcedData!AS25</f>
        <v>0.88</v>
      </c>
      <c r="AN43" s="49">
        <f>SourcedData!AT25</f>
        <v>0.88</v>
      </c>
      <c r="AO43" s="49">
        <f>SourcedData!AU25</f>
        <v>0.88</v>
      </c>
      <c r="AP43" s="49">
        <f>SourcedData!AV25</f>
        <v>0.88</v>
      </c>
      <c r="AQ43" s="49">
        <f>SourcedData!AW25</f>
        <v>0.88</v>
      </c>
      <c r="AR43" s="49">
        <f>SourcedData!AX25</f>
        <v>0.88</v>
      </c>
      <c r="AS43" s="49">
        <f>SourcedData!AY25</f>
        <v>0.88</v>
      </c>
      <c r="AT43" s="49">
        <f>SourcedData!AZ25</f>
        <v>0.88</v>
      </c>
      <c r="AU43" s="49">
        <f>SourcedData!BA25</f>
        <v>0.88</v>
      </c>
      <c r="AV43" s="49">
        <f>SourcedData!BB25</f>
        <v>0.88</v>
      </c>
      <c r="AW43" s="49">
        <f>SourcedData!BC25</f>
        <v>0.88</v>
      </c>
      <c r="AX43" s="49">
        <f>SourcedData!BD25</f>
        <v>0.88</v>
      </c>
      <c r="AY43" s="49">
        <f>SourcedData!BE25</f>
        <v>0.88</v>
      </c>
      <c r="AZ43" s="49">
        <f>SourcedData!BF25</f>
        <v>0.88</v>
      </c>
      <c r="BA43" s="49">
        <f>SourcedData!BG25</f>
        <v>0.88</v>
      </c>
      <c r="BB43" s="49">
        <f>SourcedData!BH25</f>
        <v>0.88</v>
      </c>
      <c r="BC43" s="49">
        <f>SourcedData!BI25</f>
        <v>0.88</v>
      </c>
      <c r="BD43" s="49"/>
      <c r="BE43" s="49"/>
      <c r="BF43" s="49"/>
      <c r="BG43" s="49"/>
      <c r="BH43" s="1"/>
      <c r="BI43" s="22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L43" s="24"/>
      <c r="CM43" s="24"/>
      <c r="CN43" s="24"/>
      <c r="CO43" s="24"/>
      <c r="CT43" s="1"/>
      <c r="CU43" s="4"/>
      <c r="CV43" s="1"/>
      <c r="CW43" s="1"/>
      <c r="CX43" s="17"/>
      <c r="CY43" s="1"/>
      <c r="CZ43" s="1"/>
      <c r="DA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</row>
    <row r="44" spans="1:169" x14ac:dyDescent="0.2">
      <c r="A44" s="1"/>
      <c r="C44" s="22"/>
      <c r="D44" s="1"/>
      <c r="E44" s="1"/>
      <c r="F44" s="1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"/>
      <c r="BI44" s="22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L44" s="24"/>
      <c r="CM44" s="24"/>
      <c r="CN44" s="24"/>
      <c r="CO44" s="24"/>
      <c r="CT44" s="1"/>
      <c r="CU44" s="4"/>
      <c r="CV44" s="1"/>
      <c r="CW44" s="1"/>
      <c r="CX44" s="17"/>
      <c r="CY44" s="1"/>
      <c r="CZ44" s="1"/>
      <c r="DA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</row>
    <row r="45" spans="1:169" x14ac:dyDescent="0.2">
      <c r="A45" s="1" t="s">
        <v>134</v>
      </c>
      <c r="D45" s="19"/>
      <c r="E45" s="19"/>
      <c r="F45" s="19"/>
      <c r="G45" s="19"/>
      <c r="H45" s="12"/>
      <c r="I45" s="12"/>
      <c r="J45" s="12"/>
      <c r="K45" s="1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J45" s="1"/>
      <c r="BK45" s="1"/>
      <c r="BL45" s="1"/>
      <c r="BM45" s="53"/>
      <c r="BN45" s="53"/>
      <c r="BO45" s="1"/>
      <c r="BP45" s="1"/>
      <c r="BQ45" s="1"/>
      <c r="BR45" s="1"/>
      <c r="BS45" s="1"/>
      <c r="BT45" s="1"/>
      <c r="BU45" s="1"/>
      <c r="BV45" s="1"/>
      <c r="BW45" s="1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S45" s="1"/>
      <c r="CT45" s="1"/>
      <c r="CU45" s="1"/>
      <c r="CV45" s="1"/>
      <c r="CW45" s="1"/>
      <c r="CX45" s="17"/>
      <c r="CY45" s="1"/>
      <c r="CZ45" s="1"/>
      <c r="DA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</row>
    <row r="46" spans="1:169" x14ac:dyDescent="0.2">
      <c r="A46" s="1" t="s">
        <v>135</v>
      </c>
      <c r="D46" s="19"/>
      <c r="E46" s="19"/>
      <c r="F46" s="19"/>
      <c r="G46" s="19"/>
      <c r="H46" s="12"/>
      <c r="I46" s="12"/>
      <c r="J46" s="12"/>
      <c r="K46" s="1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CJ46" s="7"/>
      <c r="CK46" s="7"/>
      <c r="CL46" s="24"/>
      <c r="CM46" s="24"/>
      <c r="CN46" s="24"/>
      <c r="CO46" s="24"/>
      <c r="CS46" s="1"/>
      <c r="CT46" s="1"/>
      <c r="CU46" s="1"/>
      <c r="CV46" s="1"/>
      <c r="CW46" s="1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</row>
    <row r="47" spans="1:169" x14ac:dyDescent="0.2">
      <c r="A47" t="s">
        <v>98</v>
      </c>
      <c r="B47" t="s">
        <v>85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68"/>
      <c r="BJ47" s="68">
        <f>SourcedData!BO26</f>
        <v>10.937099</v>
      </c>
      <c r="BK47" s="68">
        <f>SourcedData!BP26</f>
        <v>11.604663</v>
      </c>
      <c r="BL47" s="68"/>
      <c r="BM47" s="68">
        <f>SourcedData!BR26</f>
        <v>11.637862</v>
      </c>
      <c r="BN47" s="68">
        <f>SourcedData!BS26</f>
        <v>12.075884</v>
      </c>
      <c r="BO47" s="63">
        <f>SourcedData!BT26</f>
        <v>8.4352280000000004</v>
      </c>
      <c r="BP47" s="63">
        <f>SourcedData!BU26</f>
        <v>9.5306320000000007</v>
      </c>
      <c r="BQ47" s="63">
        <f>SourcedData!BV26</f>
        <v>10.394705999999999</v>
      </c>
      <c r="BR47" s="63">
        <f>SourcedData!BW26</f>
        <v>9.1683900000000005</v>
      </c>
      <c r="BS47" s="63">
        <f>SourcedData!BX26</f>
        <v>6.1009979999999997</v>
      </c>
      <c r="BT47" s="63">
        <f>SourcedData!BY26</f>
        <v>9.1468310000000006</v>
      </c>
      <c r="BU47" s="63">
        <f>SourcedData!BZ26</f>
        <v>8.7652009999999994</v>
      </c>
      <c r="BV47" s="63">
        <f>SourcedData!CA26</f>
        <v>9.1821719999999996</v>
      </c>
      <c r="BW47" s="16"/>
      <c r="BX47" s="7"/>
      <c r="BY47" s="7"/>
      <c r="BZ47" s="7"/>
      <c r="CA47" s="7"/>
      <c r="CB47" s="7"/>
      <c r="CC47" s="7"/>
      <c r="CF47" s="9">
        <f t="shared" ref="CF47:CF56" si="16">BJ47*0.5+BK47*0.5</f>
        <v>11.270880999999999</v>
      </c>
      <c r="CI47" s="9">
        <f>BM47*0.5+BN47*0.5</f>
        <v>11.856873</v>
      </c>
      <c r="CJ47" s="7"/>
      <c r="CK47" s="7"/>
      <c r="CL47" s="24"/>
      <c r="CM47" s="24"/>
      <c r="CN47" s="24"/>
      <c r="CO47" s="24"/>
      <c r="CS47" t="s">
        <v>136</v>
      </c>
      <c r="CT47" s="1"/>
      <c r="CU47" s="1"/>
      <c r="CV47" s="1"/>
      <c r="CW47" s="1"/>
      <c r="CX47" s="4" t="s">
        <v>137</v>
      </c>
      <c r="CY47" s="4" t="s">
        <v>137</v>
      </c>
      <c r="CZ47" s="4"/>
      <c r="DA47" s="4" t="s">
        <v>138</v>
      </c>
      <c r="DB47" s="4" t="s">
        <v>138</v>
      </c>
      <c r="DC47" s="4" t="s">
        <v>139</v>
      </c>
      <c r="DD47" s="4" t="s">
        <v>139</v>
      </c>
      <c r="DE47" s="4" t="s">
        <v>139</v>
      </c>
      <c r="DF47" s="4" t="s">
        <v>139</v>
      </c>
      <c r="DG47" s="4" t="s">
        <v>140</v>
      </c>
      <c r="DH47" s="4" t="s">
        <v>141</v>
      </c>
      <c r="DI47" s="4" t="s">
        <v>142</v>
      </c>
      <c r="DJ47" s="4" t="s">
        <v>143</v>
      </c>
      <c r="DK47" s="4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</row>
    <row r="48" spans="1:169" x14ac:dyDescent="0.2">
      <c r="A48" t="s">
        <v>104</v>
      </c>
      <c r="B48" t="s">
        <v>85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68"/>
      <c r="BJ48" s="68">
        <f>SourcedData!BO27</f>
        <v>6.1704809999999997</v>
      </c>
      <c r="BK48" s="68">
        <f>SourcedData!BP27</f>
        <v>6.4618120000000001</v>
      </c>
      <c r="BL48" s="68"/>
      <c r="BM48" s="68">
        <f>SourcedData!BR27</f>
        <v>5.9788100000000002</v>
      </c>
      <c r="BN48" s="68">
        <f>SourcedData!BS27</f>
        <v>7.7338149999999999</v>
      </c>
      <c r="BO48" s="63">
        <f>SourcedData!BT27</f>
        <v>9.3705189999999998</v>
      </c>
      <c r="BP48" s="63">
        <f>SourcedData!BU27</f>
        <v>7.4761150000000001</v>
      </c>
      <c r="BQ48" s="63">
        <f>SourcedData!BV27</f>
        <v>7.607259</v>
      </c>
      <c r="BR48" s="63">
        <f>SourcedData!BW27</f>
        <v>5.7687710000000001</v>
      </c>
      <c r="BS48" s="63">
        <f>SourcedData!BX27</f>
        <v>3.6434250000000001</v>
      </c>
      <c r="BT48" s="63">
        <f>SourcedData!BY27</f>
        <v>6.1965560000000002</v>
      </c>
      <c r="BU48" s="63">
        <f>SourcedData!BZ27</f>
        <v>4.8098049999999999</v>
      </c>
      <c r="BV48" s="63">
        <f>SourcedData!CA27</f>
        <v>3.3150010000000001</v>
      </c>
      <c r="BW48" s="16"/>
      <c r="BX48" s="8"/>
      <c r="BY48" s="8"/>
      <c r="BZ48" s="8"/>
      <c r="CA48" s="8"/>
      <c r="CB48" s="8"/>
      <c r="CC48" s="8"/>
      <c r="CF48" s="9">
        <f t="shared" si="16"/>
        <v>6.3161465000000003</v>
      </c>
      <c r="CI48" s="9">
        <f>BM48*0.5+BN48*0.5</f>
        <v>6.8563124999999996</v>
      </c>
      <c r="CJ48" s="7"/>
      <c r="CK48" s="7"/>
      <c r="CL48" s="24"/>
      <c r="CM48" s="24"/>
      <c r="CN48" s="24"/>
      <c r="CO48" s="24"/>
      <c r="CS48" t="s">
        <v>136</v>
      </c>
      <c r="CT48" s="1"/>
      <c r="CU48" s="1"/>
      <c r="CV48" s="1"/>
      <c r="CW48" s="1"/>
      <c r="CX48" s="4" t="s">
        <v>137</v>
      </c>
      <c r="CY48" s="4" t="s">
        <v>137</v>
      </c>
      <c r="CZ48" s="4"/>
      <c r="DA48" s="4" t="s">
        <v>138</v>
      </c>
      <c r="DB48" s="4" t="s">
        <v>138</v>
      </c>
      <c r="DC48" s="4" t="s">
        <v>139</v>
      </c>
      <c r="DD48" s="4" t="s">
        <v>139</v>
      </c>
      <c r="DE48" s="4" t="s">
        <v>139</v>
      </c>
      <c r="DF48" s="4" t="s">
        <v>139</v>
      </c>
      <c r="DG48" s="4" t="s">
        <v>140</v>
      </c>
      <c r="DH48" s="4" t="s">
        <v>141</v>
      </c>
      <c r="DI48" s="4" t="s">
        <v>142</v>
      </c>
      <c r="DJ48" s="4" t="s">
        <v>143</v>
      </c>
      <c r="DK48" s="4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</row>
    <row r="49" spans="1:136" x14ac:dyDescent="0.2">
      <c r="A49" t="s">
        <v>101</v>
      </c>
      <c r="B49" t="s">
        <v>85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68"/>
      <c r="BJ49" s="68">
        <f>SourcedData!BO28</f>
        <v>3.603434</v>
      </c>
      <c r="BK49" s="68">
        <f>SourcedData!BP28</f>
        <v>1.8540719999999999</v>
      </c>
      <c r="BL49" s="68"/>
      <c r="BM49" s="68">
        <f>SourcedData!BR28</f>
        <v>6.5612149999999998</v>
      </c>
      <c r="BN49" s="68">
        <f>SourcedData!BS28</f>
        <v>4.8914390000000001</v>
      </c>
      <c r="BO49" s="68"/>
      <c r="BP49" s="68"/>
      <c r="BQ49" s="68"/>
      <c r="BR49" s="68"/>
      <c r="BS49" s="68"/>
      <c r="BT49" s="68"/>
      <c r="BU49" s="68"/>
      <c r="BV49" s="16"/>
      <c r="BW49" s="16"/>
      <c r="BX49" s="7"/>
      <c r="BY49" s="7"/>
      <c r="BZ49" s="7"/>
      <c r="CA49" s="7"/>
      <c r="CB49" s="7"/>
      <c r="CC49" s="7"/>
      <c r="CF49" s="9">
        <f t="shared" si="16"/>
        <v>2.7287530000000002</v>
      </c>
      <c r="CI49" s="9">
        <f>BM49*0.5+BN49*0.5</f>
        <v>5.7263269999999995</v>
      </c>
      <c r="CJ49" s="7"/>
      <c r="CK49" s="7"/>
      <c r="CL49" s="24"/>
      <c r="CM49" s="24"/>
      <c r="CN49" s="24"/>
      <c r="CO49" s="24"/>
      <c r="CS49" t="s">
        <v>136</v>
      </c>
      <c r="CX49" s="4" t="s">
        <v>137</v>
      </c>
      <c r="CY49" s="4" t="s">
        <v>137</v>
      </c>
      <c r="CZ49" s="4"/>
      <c r="DA49" s="4" t="s">
        <v>138</v>
      </c>
      <c r="DB49" s="4" t="s">
        <v>138</v>
      </c>
      <c r="DC49" s="4"/>
      <c r="DD49" s="4"/>
      <c r="DE49" s="4"/>
      <c r="DF49" s="4"/>
      <c r="DG49" s="4"/>
      <c r="DH49" s="4"/>
      <c r="DI49" s="4"/>
      <c r="DJ49" s="4"/>
      <c r="DK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</row>
    <row r="50" spans="1:136" x14ac:dyDescent="0.2">
      <c r="A50" t="s">
        <v>144</v>
      </c>
      <c r="B50" t="s">
        <v>85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68"/>
      <c r="BJ50" s="68">
        <f>SourcedData!BO29</f>
        <v>6.8421580000000004</v>
      </c>
      <c r="BK50" s="68">
        <f>SourcedData!BP29</f>
        <v>5.8767180000000003</v>
      </c>
      <c r="BL50" s="68"/>
      <c r="BM50" s="68">
        <f>SourcedData!BR29</f>
        <v>7.8387640000000003</v>
      </c>
      <c r="BN50" s="68">
        <f>SourcedData!BS29</f>
        <v>8.3942990000000002</v>
      </c>
      <c r="BO50" s="68"/>
      <c r="BP50" s="68"/>
      <c r="BQ50" s="68"/>
      <c r="BR50" s="68"/>
      <c r="BS50" s="68"/>
      <c r="BT50" s="68"/>
      <c r="BU50" s="68"/>
      <c r="BV50" s="16"/>
      <c r="BW50" s="16"/>
      <c r="BX50" s="7"/>
      <c r="BY50" s="7"/>
      <c r="BZ50" s="7"/>
      <c r="CA50" s="7"/>
      <c r="CB50" s="7"/>
      <c r="CC50" s="7"/>
      <c r="CF50" s="9">
        <f t="shared" si="16"/>
        <v>6.3594380000000008</v>
      </c>
      <c r="CH50" s="10"/>
      <c r="CI50" s="9">
        <f>BM50*0.5+BN50*0.5</f>
        <v>8.1165315000000007</v>
      </c>
      <c r="CJ50" s="10"/>
      <c r="CK50" s="10"/>
      <c r="CL50" s="24"/>
      <c r="CM50" s="24"/>
      <c r="CN50" s="24"/>
      <c r="CO50" s="24"/>
      <c r="CS50" t="s">
        <v>136</v>
      </c>
      <c r="CX50" s="4" t="s">
        <v>137</v>
      </c>
      <c r="CY50" s="4" t="s">
        <v>137</v>
      </c>
      <c r="CZ50" s="4"/>
      <c r="DA50" s="4" t="s">
        <v>138</v>
      </c>
      <c r="DB50" s="4" t="s">
        <v>138</v>
      </c>
      <c r="DC50" s="4"/>
      <c r="DD50" s="4"/>
      <c r="DE50" s="4"/>
      <c r="DF50" s="4"/>
      <c r="DG50" s="4"/>
      <c r="DH50" s="4"/>
      <c r="DI50" s="4"/>
      <c r="DJ50" s="4"/>
      <c r="DK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</row>
    <row r="51" spans="1:136" x14ac:dyDescent="0.2">
      <c r="A51" t="s">
        <v>145</v>
      </c>
      <c r="B51" t="s">
        <v>85</v>
      </c>
      <c r="BI51" s="63"/>
      <c r="BJ51" s="68">
        <f>SourcedData!BO30</f>
        <v>1.9181710000000001</v>
      </c>
      <c r="BK51" s="68">
        <f>SourcedData!BP30</f>
        <v>1.1141080000000001</v>
      </c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16"/>
      <c r="BW51" s="16"/>
      <c r="CF51" s="9">
        <f t="shared" si="16"/>
        <v>1.5161395</v>
      </c>
      <c r="CH51" s="10"/>
      <c r="CJ51" s="10"/>
      <c r="CK51" s="10"/>
      <c r="CL51" s="24"/>
      <c r="CM51" s="24"/>
      <c r="CN51" s="24"/>
      <c r="CO51" s="24"/>
      <c r="CS51" t="s">
        <v>136</v>
      </c>
      <c r="CX51" s="4" t="s">
        <v>137</v>
      </c>
      <c r="CY51" s="4" t="s">
        <v>137</v>
      </c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</row>
    <row r="52" spans="1:136" x14ac:dyDescent="0.2">
      <c r="A52" t="s">
        <v>146</v>
      </c>
      <c r="B52" t="s">
        <v>85</v>
      </c>
      <c r="BI52" s="68"/>
      <c r="BJ52" s="68">
        <f>SourcedData!BO31</f>
        <v>5.303941</v>
      </c>
      <c r="BK52" s="68">
        <f>SourcedData!BP31</f>
        <v>5.7875160000000001</v>
      </c>
      <c r="BL52" s="68"/>
      <c r="BM52" s="68">
        <f>SourcedData!BR31</f>
        <v>5.6733929999999999</v>
      </c>
      <c r="BN52" s="68">
        <f>SourcedData!BS31</f>
        <v>4.0973629999999996</v>
      </c>
      <c r="BO52" s="63">
        <f>SourcedData!BT31</f>
        <v>3.8861080000000001</v>
      </c>
      <c r="BP52" s="63">
        <f>SourcedData!BU31</f>
        <v>4.5610480000000004</v>
      </c>
      <c r="BQ52" s="63">
        <f>SourcedData!BV31</f>
        <v>5.3850379999999998</v>
      </c>
      <c r="BR52" s="63">
        <f>SourcedData!BW31</f>
        <v>3.6353460000000002</v>
      </c>
      <c r="BS52" s="63">
        <f>SourcedData!BX31</f>
        <v>3.4568439999999998</v>
      </c>
      <c r="BT52" s="63">
        <f>SourcedData!BY31/10^6</f>
        <v>4.1274369999999996</v>
      </c>
      <c r="BU52" s="63">
        <f>SourcedData!BZ31</f>
        <v>3.8531840000000002</v>
      </c>
      <c r="BV52" s="63">
        <f>SourcedData!CA31</f>
        <v>4.8759680000000003</v>
      </c>
      <c r="BW52" s="16"/>
      <c r="CF52" s="9">
        <f t="shared" si="16"/>
        <v>5.5457285000000001</v>
      </c>
      <c r="CI52" s="9">
        <f>BM52*0.5+BN52*0.5</f>
        <v>4.8853779999999993</v>
      </c>
      <c r="CL52" s="24"/>
      <c r="CM52" s="24"/>
      <c r="CN52" s="24"/>
      <c r="CO52" s="24"/>
      <c r="CS52" t="s">
        <v>136</v>
      </c>
      <c r="CX52" s="4" t="s">
        <v>137</v>
      </c>
      <c r="CY52" s="4" t="s">
        <v>137</v>
      </c>
      <c r="CZ52" s="4"/>
      <c r="DA52" s="4" t="s">
        <v>138</v>
      </c>
      <c r="DB52" s="4" t="s">
        <v>138</v>
      </c>
      <c r="DC52" s="4" t="s">
        <v>139</v>
      </c>
      <c r="DD52" s="4" t="s">
        <v>139</v>
      </c>
      <c r="DE52" s="4" t="s">
        <v>139</v>
      </c>
      <c r="DF52" s="4" t="s">
        <v>139</v>
      </c>
      <c r="DG52" s="4" t="s">
        <v>140</v>
      </c>
      <c r="DH52" s="4" t="s">
        <v>141</v>
      </c>
      <c r="DI52" s="4" t="s">
        <v>142</v>
      </c>
      <c r="DJ52" s="4" t="s">
        <v>143</v>
      </c>
      <c r="DK52" s="4"/>
    </row>
    <row r="53" spans="1:136" x14ac:dyDescent="0.2">
      <c r="A53" t="s">
        <v>147</v>
      </c>
      <c r="B53" t="s">
        <v>85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68"/>
      <c r="BJ53" s="68">
        <f>SourcedData!BO32</f>
        <v>0.408779</v>
      </c>
      <c r="BK53" s="68">
        <f>SourcedData!BP32</f>
        <v>0.24801100000000001</v>
      </c>
      <c r="BL53" s="68"/>
      <c r="BM53" s="68"/>
      <c r="BN53" s="68"/>
      <c r="BO53" s="68"/>
      <c r="BP53" s="68"/>
      <c r="BQ53" s="68"/>
      <c r="BR53" s="68"/>
      <c r="BS53" s="68"/>
      <c r="BT53" s="63">
        <f>4333679/10^6</f>
        <v>4.3336790000000001</v>
      </c>
      <c r="BU53" s="63">
        <f>SourcedData!BZ32</f>
        <v>5.4338949999999997</v>
      </c>
      <c r="BV53" s="63">
        <f>SourcedData!CA32</f>
        <v>5.2646189999999997</v>
      </c>
      <c r="BW53" s="13"/>
      <c r="BX53" s="1"/>
      <c r="BY53" s="1"/>
      <c r="BZ53" s="1"/>
      <c r="CA53" s="1"/>
      <c r="CB53" s="1"/>
      <c r="CC53" s="1"/>
      <c r="CF53" s="9">
        <f t="shared" si="16"/>
        <v>0.32839499999999999</v>
      </c>
      <c r="CI53" s="9">
        <f>BM53*0.5+BN53*0.5</f>
        <v>0</v>
      </c>
      <c r="CS53" t="s">
        <v>136</v>
      </c>
      <c r="CX53" s="4" t="s">
        <v>137</v>
      </c>
      <c r="CY53" s="4" t="s">
        <v>137</v>
      </c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</row>
    <row r="54" spans="1:136" x14ac:dyDescent="0.2">
      <c r="A54" t="s">
        <v>148</v>
      </c>
      <c r="B54" t="s">
        <v>85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68"/>
      <c r="BJ54" s="68">
        <f>SourcedData!BO33</f>
        <v>4.0508850000000001</v>
      </c>
      <c r="BK54" s="68">
        <f>SourcedData!BP33</f>
        <v>6.1264710000000004</v>
      </c>
      <c r="BL54" s="68"/>
      <c r="BM54" s="68">
        <f>SourcedData!BR33</f>
        <v>9.8100939999999994</v>
      </c>
      <c r="BN54" s="68">
        <f>SourcedData!BS33</f>
        <v>7.2760020000000001</v>
      </c>
      <c r="BO54" s="68">
        <f>SourcedData!BT33</f>
        <v>7.7329540000000003</v>
      </c>
      <c r="BP54" s="68">
        <f>SourcedData!BU33</f>
        <v>6.930631</v>
      </c>
      <c r="BQ54" s="68">
        <f>SourcedData!BV33</f>
        <v>5.7449339999999998</v>
      </c>
      <c r="BR54" s="63">
        <f>SourcedData!BW33</f>
        <v>6.9115690000000001</v>
      </c>
      <c r="BS54" s="63">
        <f>SourcedData!BX33</f>
        <v>5.9479839999999999</v>
      </c>
      <c r="BT54" s="63"/>
      <c r="BU54" s="63"/>
      <c r="BV54" s="16"/>
      <c r="BW54" s="16"/>
      <c r="BX54" s="1"/>
      <c r="BY54" s="1"/>
      <c r="BZ54" s="1"/>
      <c r="CA54" s="1"/>
      <c r="CB54" s="1"/>
      <c r="CC54" s="1"/>
      <c r="CF54" s="9">
        <f t="shared" si="16"/>
        <v>5.0886779999999998</v>
      </c>
      <c r="CI54" s="9">
        <f>BM54*0.5+BN54*0.5</f>
        <v>8.5430479999999989</v>
      </c>
      <c r="CS54" t="s">
        <v>136</v>
      </c>
      <c r="CX54" s="4" t="s">
        <v>137</v>
      </c>
      <c r="CY54" s="4" t="s">
        <v>137</v>
      </c>
      <c r="CZ54" s="4"/>
      <c r="DA54" s="4" t="s">
        <v>138</v>
      </c>
      <c r="DB54" s="4" t="s">
        <v>138</v>
      </c>
      <c r="DC54" s="4" t="s">
        <v>139</v>
      </c>
      <c r="DD54" s="4" t="s">
        <v>139</v>
      </c>
      <c r="DE54" s="4" t="s">
        <v>139</v>
      </c>
      <c r="DF54" s="4" t="s">
        <v>139</v>
      </c>
      <c r="DG54" s="4" t="s">
        <v>140</v>
      </c>
      <c r="DH54" s="4"/>
      <c r="DI54" s="4" t="s">
        <v>142</v>
      </c>
      <c r="DJ54" s="4" t="s">
        <v>143</v>
      </c>
      <c r="DK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</row>
    <row r="55" spans="1:136" x14ac:dyDescent="0.2">
      <c r="A55" t="s">
        <v>128</v>
      </c>
      <c r="B55" t="s">
        <v>85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68"/>
      <c r="BJ55" s="68">
        <f>SourcedData!BO34</f>
        <v>5.1681840000000001</v>
      </c>
      <c r="BK55" s="68">
        <f>SourcedData!BP34</f>
        <v>5.4661429999999998</v>
      </c>
      <c r="BL55" s="68"/>
      <c r="BM55" s="68">
        <f>SourcedData!BR34</f>
        <v>5.5781130000000001</v>
      </c>
      <c r="BN55" s="68">
        <f>SourcedData!BS34</f>
        <v>5.2764499999999996</v>
      </c>
      <c r="BO55" s="68">
        <f>SourcedData!BT34</f>
        <v>5.2356309999999997</v>
      </c>
      <c r="BP55" s="68">
        <f>SourcedData!BU34</f>
        <v>4.6926100000000002</v>
      </c>
      <c r="BQ55" s="68">
        <f>SourcedData!BV34</f>
        <v>4.7222759999999999</v>
      </c>
      <c r="BR55" s="63">
        <f>SourcedData!BW34</f>
        <v>5.5934100000000004</v>
      </c>
      <c r="BS55" s="63">
        <f>SourcedData!BX34</f>
        <v>4.9634460000000002</v>
      </c>
      <c r="BT55" s="63">
        <f>SourcedData!BY34</f>
        <v>4.7240690000000001</v>
      </c>
      <c r="BU55" s="63">
        <f>SourcedData!BZ34</f>
        <v>6.1252570000000004</v>
      </c>
      <c r="BV55" s="63">
        <f>SourcedData!CA34</f>
        <v>6.6728829999999997</v>
      </c>
      <c r="BW55" s="16"/>
      <c r="BX55" s="11"/>
      <c r="BY55" s="11"/>
      <c r="BZ55" s="11"/>
      <c r="CA55" s="11"/>
      <c r="CB55" s="11"/>
      <c r="CC55" s="11"/>
      <c r="CD55" s="11"/>
      <c r="CE55" s="11"/>
      <c r="CF55" s="9">
        <f t="shared" si="16"/>
        <v>5.3171634999999995</v>
      </c>
      <c r="CG55" s="11"/>
      <c r="CH55" s="11"/>
      <c r="CI55" s="9">
        <f>BM55*0.5+BN55*0.5</f>
        <v>5.4272814999999994</v>
      </c>
      <c r="CS55" t="s">
        <v>136</v>
      </c>
      <c r="CX55" s="4" t="s">
        <v>137</v>
      </c>
      <c r="CY55" s="4" t="s">
        <v>137</v>
      </c>
      <c r="CZ55" s="4"/>
      <c r="DA55" s="4" t="s">
        <v>138</v>
      </c>
      <c r="DB55" s="4" t="s">
        <v>138</v>
      </c>
      <c r="DC55" s="4" t="s">
        <v>139</v>
      </c>
      <c r="DD55" s="4" t="s">
        <v>139</v>
      </c>
      <c r="DE55" s="4" t="s">
        <v>139</v>
      </c>
      <c r="DF55" s="4" t="s">
        <v>139</v>
      </c>
      <c r="DG55" s="4" t="s">
        <v>140</v>
      </c>
      <c r="DH55" s="4" t="s">
        <v>141</v>
      </c>
      <c r="DI55" s="4" t="s">
        <v>142</v>
      </c>
      <c r="DJ55" s="4" t="s">
        <v>143</v>
      </c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</row>
    <row r="56" spans="1:136" x14ac:dyDescent="0.2">
      <c r="A56" t="s">
        <v>122</v>
      </c>
      <c r="B56" t="s">
        <v>85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68"/>
      <c r="BJ56" s="68">
        <f>SourcedData!BO35</f>
        <v>5.835788</v>
      </c>
      <c r="BK56" s="68">
        <f>SourcedData!BP35</f>
        <v>9.2276939999999996</v>
      </c>
      <c r="BL56" s="68"/>
      <c r="BM56" s="68">
        <f>SourcedData!BR35</f>
        <v>11.249826000000001</v>
      </c>
      <c r="BN56" s="68">
        <f>SourcedData!BS35</f>
        <v>10.775935</v>
      </c>
      <c r="BO56" s="68">
        <f>SourcedData!BT35</f>
        <v>11.548999999999999</v>
      </c>
      <c r="BP56" s="68">
        <f>SourcedData!BU35</f>
        <v>10.468</v>
      </c>
      <c r="BQ56" s="68">
        <f>SourcedData!BV35</f>
        <v>8.229006</v>
      </c>
      <c r="BR56" s="63">
        <f>SourcedData!BW35</f>
        <v>9.4667259999999995</v>
      </c>
      <c r="BS56" s="63">
        <f>SourcedData!BX35</f>
        <v>11.159508000000001</v>
      </c>
      <c r="BT56" s="63">
        <f>SourcedData!BY35</f>
        <v>10.647909</v>
      </c>
      <c r="BU56" s="63">
        <f>SourcedData!BZ35</f>
        <v>11.198867999999999</v>
      </c>
      <c r="BV56" s="63">
        <f>SourcedData!CA35</f>
        <v>10.549505</v>
      </c>
      <c r="BW56" s="16"/>
      <c r="BX56" s="11"/>
      <c r="BY56" s="11"/>
      <c r="BZ56" s="11"/>
      <c r="CA56" s="11"/>
      <c r="CB56" s="11"/>
      <c r="CC56" s="11"/>
      <c r="CD56" s="11"/>
      <c r="CE56" s="11"/>
      <c r="CF56" s="9">
        <f t="shared" si="16"/>
        <v>7.5317410000000002</v>
      </c>
      <c r="CG56" s="11"/>
      <c r="CH56" s="11"/>
      <c r="CI56" s="9">
        <f>BM56*0.5+BN56*0.5</f>
        <v>11.012880500000001</v>
      </c>
      <c r="CS56" t="s">
        <v>136</v>
      </c>
      <c r="CX56" s="4" t="s">
        <v>137</v>
      </c>
      <c r="CY56" s="4" t="s">
        <v>137</v>
      </c>
      <c r="CZ56" s="4"/>
      <c r="DA56" s="4" t="s">
        <v>138</v>
      </c>
      <c r="DB56" s="4" t="s">
        <v>138</v>
      </c>
      <c r="DC56" s="4" t="s">
        <v>139</v>
      </c>
      <c r="DD56" s="4" t="s">
        <v>139</v>
      </c>
      <c r="DE56" s="4" t="s">
        <v>139</v>
      </c>
      <c r="DF56" s="4" t="s">
        <v>139</v>
      </c>
      <c r="DG56" s="4" t="s">
        <v>140</v>
      </c>
      <c r="DH56" s="4" t="s">
        <v>141</v>
      </c>
      <c r="DI56" s="4" t="s">
        <v>142</v>
      </c>
      <c r="DJ56" s="4" t="s">
        <v>143</v>
      </c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</row>
    <row r="57" spans="1:136" x14ac:dyDescent="0.2">
      <c r="A57" t="s">
        <v>105</v>
      </c>
      <c r="B57" t="s">
        <v>85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68"/>
      <c r="BJ57" s="68"/>
      <c r="BK57" s="68"/>
      <c r="BL57" s="68"/>
      <c r="BM57" s="68">
        <f>SourcedData!BR36</f>
        <v>1.328956</v>
      </c>
      <c r="BN57" s="68">
        <f>SourcedData!BS36</f>
        <v>3.6891229999999999</v>
      </c>
      <c r="BO57" s="68">
        <f>SourcedData!BT36</f>
        <v>5.7131990000000004</v>
      </c>
      <c r="BP57" s="68">
        <f>SourcedData!BU36</f>
        <v>6.0901319999999997</v>
      </c>
      <c r="BQ57" s="68">
        <f>SourcedData!BV36</f>
        <v>5.5961600000000002</v>
      </c>
      <c r="BR57" s="63">
        <f>SourcedData!BW36/1000000</f>
        <v>4.9690000000000003E-3</v>
      </c>
      <c r="BS57" s="63">
        <f>SourcedData!BX36</f>
        <v>1.6337619999999999</v>
      </c>
      <c r="BT57" s="63">
        <f>SourcedData!BY36</f>
        <v>5.7058070000000001</v>
      </c>
      <c r="BU57" s="63">
        <f>SourcedData!BZ36</f>
        <v>6.6663949999999996</v>
      </c>
      <c r="BV57" s="63">
        <f>SourcedData!CA36</f>
        <v>0.33033000000000001</v>
      </c>
      <c r="BW57" s="16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X57" s="4"/>
      <c r="CY57" s="4"/>
      <c r="CZ57" s="4"/>
      <c r="DA57" s="4" t="s">
        <v>138</v>
      </c>
      <c r="DB57" s="4" t="s">
        <v>138</v>
      </c>
      <c r="DC57" s="4" t="s">
        <v>139</v>
      </c>
      <c r="DD57" s="4" t="s">
        <v>139</v>
      </c>
      <c r="DE57" s="4" t="s">
        <v>139</v>
      </c>
      <c r="DF57" s="4" t="s">
        <v>139</v>
      </c>
      <c r="DG57" s="4" t="s">
        <v>140</v>
      </c>
      <c r="DH57" s="4" t="s">
        <v>141</v>
      </c>
      <c r="DI57" s="4" t="s">
        <v>142</v>
      </c>
      <c r="DJ57" s="4" t="s">
        <v>143</v>
      </c>
      <c r="DK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</row>
    <row r="58" spans="1:136" x14ac:dyDescent="0.2"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68"/>
      <c r="BJ58" s="68"/>
      <c r="BK58" s="68"/>
      <c r="BL58" s="68"/>
      <c r="BM58" s="68"/>
      <c r="BN58" s="68"/>
      <c r="BO58" s="68"/>
      <c r="BP58" s="68"/>
      <c r="BQ58" s="67"/>
      <c r="BR58" s="81"/>
      <c r="BS58" s="67"/>
      <c r="BT58" s="67"/>
      <c r="BU58" s="67"/>
      <c r="BV58" s="16"/>
      <c r="BW58" s="16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24"/>
      <c r="CM58" s="24"/>
      <c r="CN58" s="24"/>
      <c r="CO58" s="2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</row>
    <row r="59" spans="1:136" x14ac:dyDescent="0.2">
      <c r="A59" s="1" t="s">
        <v>149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16"/>
      <c r="BW59" s="16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24"/>
      <c r="CM59" s="24"/>
      <c r="CN59" s="24"/>
      <c r="CO59" s="2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</row>
    <row r="60" spans="1:136" x14ac:dyDescent="0.2">
      <c r="A60" t="s">
        <v>98</v>
      </c>
      <c r="B60" t="s">
        <v>150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68">
        <f>SourcedData!BN37</f>
        <v>9.3028820000000003</v>
      </c>
      <c r="BJ60" s="65">
        <f>BJ86+BJ113</f>
        <v>8.5507229999999996</v>
      </c>
      <c r="BK60" s="65">
        <f>BK86+BK113</f>
        <v>8.3920759999999994</v>
      </c>
      <c r="BL60" s="68">
        <f>SourcedData!BQ37</f>
        <v>8.1480720000000009</v>
      </c>
      <c r="BM60" s="65">
        <f t="shared" ref="BM60:BV60" si="17">BM86+BM113</f>
        <v>8.6766079999999999</v>
      </c>
      <c r="BN60" s="65">
        <f t="shared" si="17"/>
        <v>9.0152140000000003</v>
      </c>
      <c r="BO60" s="65">
        <f t="shared" si="17"/>
        <v>6.2742560000000003</v>
      </c>
      <c r="BP60" s="65">
        <f t="shared" si="17"/>
        <v>7.1346550000000004</v>
      </c>
      <c r="BQ60" s="65">
        <f t="shared" si="17"/>
        <v>7.9893830000000001</v>
      </c>
      <c r="BR60" s="65">
        <f t="shared" si="17"/>
        <v>7.0347080000000002</v>
      </c>
      <c r="BS60" s="65">
        <f t="shared" si="17"/>
        <v>4.5245560000000005</v>
      </c>
      <c r="BT60" s="65">
        <f t="shared" si="17"/>
        <v>6.9822559999999996</v>
      </c>
      <c r="BU60" s="65">
        <f t="shared" si="17"/>
        <v>6.3516409999999999</v>
      </c>
      <c r="BV60" s="65">
        <f t="shared" si="17"/>
        <v>7.3766540000000003</v>
      </c>
      <c r="BW60" s="16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24"/>
      <c r="CM60" s="24"/>
      <c r="CN60" s="24"/>
      <c r="CO60" s="24"/>
      <c r="CW60" s="4" t="s">
        <v>151</v>
      </c>
      <c r="CX60" s="4" t="s">
        <v>152</v>
      </c>
      <c r="CY60" s="4" t="s">
        <v>152</v>
      </c>
      <c r="CZ60" s="4" t="s">
        <v>152</v>
      </c>
      <c r="DA60" s="4" t="s">
        <v>152</v>
      </c>
      <c r="DB60" s="4" t="s">
        <v>152</v>
      </c>
      <c r="DC60" s="4" t="s">
        <v>138</v>
      </c>
      <c r="DD60" s="4" t="s">
        <v>138</v>
      </c>
      <c r="DE60" s="4" t="s">
        <v>153</v>
      </c>
      <c r="DF60" s="4"/>
      <c r="DG60" s="4"/>
      <c r="DH60" s="4"/>
      <c r="DI60" s="4"/>
      <c r="DJ60" s="4"/>
      <c r="DK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</row>
    <row r="61" spans="1:136" x14ac:dyDescent="0.2">
      <c r="A61" t="s">
        <v>128</v>
      </c>
      <c r="B61" t="s">
        <v>150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68">
        <f>SourcedData!BN38</f>
        <v>4.5498750000000001</v>
      </c>
      <c r="BJ61" s="65">
        <f>BJ95+BJ116</f>
        <v>4.8067509999999993</v>
      </c>
      <c r="BK61" s="65">
        <f>BK95+BK116</f>
        <v>5.0101759999999995</v>
      </c>
      <c r="BL61" s="68">
        <f>SourcedData!BQ38</f>
        <v>4.5323320000000002</v>
      </c>
      <c r="BM61" s="65">
        <f t="shared" ref="BM61:BV61" si="18">BM95+BM116</f>
        <v>5.2423080000000004</v>
      </c>
      <c r="BN61" s="65">
        <f t="shared" si="18"/>
        <v>4.8257899999999996</v>
      </c>
      <c r="BO61" s="65">
        <f t="shared" si="18"/>
        <v>5.234</v>
      </c>
      <c r="BP61" s="65">
        <f t="shared" si="18"/>
        <v>4.7799999999999994</v>
      </c>
      <c r="BQ61" s="65">
        <f t="shared" si="18"/>
        <v>4.9376470000000001</v>
      </c>
      <c r="BR61" s="65">
        <f t="shared" si="18"/>
        <v>5.1883569999999999</v>
      </c>
      <c r="BS61" s="65">
        <f t="shared" si="18"/>
        <v>4.4150140000000002</v>
      </c>
      <c r="BT61" s="65">
        <f t="shared" si="18"/>
        <v>4.2946759999999999</v>
      </c>
      <c r="BU61" s="65">
        <f t="shared" si="18"/>
        <v>5.3481779999999999</v>
      </c>
      <c r="BV61" s="65">
        <f t="shared" si="18"/>
        <v>5.9921139999999999</v>
      </c>
      <c r="BW61" s="16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24"/>
      <c r="CM61" s="24"/>
      <c r="CN61" s="24"/>
      <c r="CO61" s="24"/>
      <c r="CW61" s="4" t="s">
        <v>151</v>
      </c>
      <c r="CX61" s="4" t="s">
        <v>152</v>
      </c>
      <c r="CY61" s="4" t="s">
        <v>152</v>
      </c>
      <c r="CZ61" s="4" t="s">
        <v>152</v>
      </c>
      <c r="DA61" s="4" t="s">
        <v>152</v>
      </c>
      <c r="DB61" s="4" t="s">
        <v>152</v>
      </c>
      <c r="DC61" s="4" t="s">
        <v>138</v>
      </c>
      <c r="DD61" s="4" t="s">
        <v>138</v>
      </c>
      <c r="DE61" s="4" t="s">
        <v>153</v>
      </c>
      <c r="DF61" s="4"/>
      <c r="DG61" s="4"/>
      <c r="DH61" s="4"/>
      <c r="DI61" s="4"/>
      <c r="DJ61" s="4"/>
      <c r="DK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</row>
    <row r="62" spans="1:136" x14ac:dyDescent="0.2">
      <c r="A62" t="s">
        <v>122</v>
      </c>
      <c r="B62" t="s">
        <v>150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68">
        <f>SourcedData!BN39</f>
        <v>3.84558</v>
      </c>
      <c r="BJ62" s="65">
        <f>BJ96+BJ117</f>
        <v>4.7875680000000003</v>
      </c>
      <c r="BK62" s="65">
        <f>BK96+BK117</f>
        <v>7.5271020000000002</v>
      </c>
      <c r="BL62" s="68">
        <f>SourcedData!BQ39</f>
        <v>8.3384839999999993</v>
      </c>
      <c r="BM62" s="65">
        <f t="shared" ref="BM62:BV62" si="19">BM96+BM117</f>
        <v>8.9708780000000008</v>
      </c>
      <c r="BN62" s="65">
        <f t="shared" si="19"/>
        <v>8.8389670000000002</v>
      </c>
      <c r="BO62" s="65">
        <f t="shared" si="19"/>
        <v>9.5050000000000008</v>
      </c>
      <c r="BP62" s="65">
        <f t="shared" si="19"/>
        <v>8.5670000000000002</v>
      </c>
      <c r="BQ62" s="65">
        <f t="shared" si="19"/>
        <v>6.7896559999999999</v>
      </c>
      <c r="BR62" s="65">
        <f t="shared" si="19"/>
        <v>7.994796</v>
      </c>
      <c r="BS62" s="65">
        <f t="shared" si="19"/>
        <v>9.2433890000000005</v>
      </c>
      <c r="BT62" s="65">
        <f t="shared" si="19"/>
        <v>8.7191089999999996</v>
      </c>
      <c r="BU62" s="65">
        <f t="shared" si="19"/>
        <v>9.0651419999999998</v>
      </c>
      <c r="BV62" s="65">
        <f t="shared" si="19"/>
        <v>8.5641250000000007</v>
      </c>
      <c r="BW62" s="16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24"/>
      <c r="CM62" s="24"/>
      <c r="CN62" s="24"/>
      <c r="CO62" s="24"/>
      <c r="CW62" s="4" t="s">
        <v>151</v>
      </c>
      <c r="CX62" s="4" t="s">
        <v>152</v>
      </c>
      <c r="CY62" s="4" t="s">
        <v>152</v>
      </c>
      <c r="CZ62" s="4" t="s">
        <v>152</v>
      </c>
      <c r="DA62" s="4" t="s">
        <v>152</v>
      </c>
      <c r="DB62" s="4" t="s">
        <v>152</v>
      </c>
      <c r="DC62" s="4" t="s">
        <v>138</v>
      </c>
      <c r="DD62" s="4" t="s">
        <v>138</v>
      </c>
      <c r="DE62" s="4" t="s">
        <v>153</v>
      </c>
      <c r="DF62" s="4"/>
      <c r="DG62" s="4"/>
      <c r="DH62" s="4"/>
      <c r="DI62" s="4"/>
      <c r="DJ62" s="4"/>
      <c r="DK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</row>
    <row r="63" spans="1:136" x14ac:dyDescent="0.2">
      <c r="A63" t="s">
        <v>146</v>
      </c>
      <c r="B63" t="s">
        <v>150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68">
        <f>SourcedData!BN40</f>
        <v>2.8954360000000001</v>
      </c>
      <c r="BJ63" s="65">
        <f>BJ90+BJ115</f>
        <v>4.0734450000000004</v>
      </c>
      <c r="BK63" s="65">
        <f>BK90+BK115</f>
        <v>4.345351</v>
      </c>
      <c r="BL63" s="68">
        <f>SourcedData!BQ40</f>
        <v>4.8014599999999996</v>
      </c>
      <c r="BM63" s="65">
        <f t="shared" ref="BM63:BV63" si="20">BM90+BM115</f>
        <v>4.3884069999999999</v>
      </c>
      <c r="BN63" s="65">
        <f t="shared" si="20"/>
        <v>3.1159589999999997</v>
      </c>
      <c r="BO63" s="65">
        <f t="shared" si="20"/>
        <v>3.1276800000000002</v>
      </c>
      <c r="BP63" s="65">
        <f t="shared" si="20"/>
        <v>3.5107789999999999</v>
      </c>
      <c r="BQ63" s="65">
        <f t="shared" si="20"/>
        <v>4.1583740000000002</v>
      </c>
      <c r="BR63" s="65">
        <f t="shared" si="20"/>
        <v>2.753806</v>
      </c>
      <c r="BS63" s="65">
        <f t="shared" si="20"/>
        <v>2.634579</v>
      </c>
      <c r="BT63" s="65">
        <f t="shared" si="20"/>
        <v>3.2870940000000002</v>
      </c>
      <c r="BU63" s="65">
        <f t="shared" si="20"/>
        <v>3.0348250000000001</v>
      </c>
      <c r="BV63" s="65">
        <f t="shared" si="20"/>
        <v>3.7458099999999996</v>
      </c>
      <c r="BW63" s="16"/>
      <c r="BX63" s="11"/>
      <c r="BY63" s="11"/>
      <c r="BZ63" s="11"/>
      <c r="CA63" s="11"/>
      <c r="CB63" s="11"/>
      <c r="CC63" s="11"/>
      <c r="CD63" s="11"/>
      <c r="CE63" s="65">
        <f t="shared" ref="CE63:CQ63" si="21">SUM(BI63:BJ63)/2</f>
        <v>3.4844405000000003</v>
      </c>
      <c r="CF63" s="65">
        <f t="shared" si="21"/>
        <v>4.2093980000000002</v>
      </c>
      <c r="CG63" s="65">
        <f t="shared" si="21"/>
        <v>4.5734054999999998</v>
      </c>
      <c r="CH63" s="65">
        <f t="shared" si="21"/>
        <v>4.5949334999999998</v>
      </c>
      <c r="CI63" s="65">
        <f t="shared" si="21"/>
        <v>3.7521829999999996</v>
      </c>
      <c r="CJ63" s="65">
        <f t="shared" si="21"/>
        <v>3.1218195</v>
      </c>
      <c r="CK63" s="65">
        <f t="shared" si="21"/>
        <v>3.3192295000000001</v>
      </c>
      <c r="CL63" s="65">
        <f t="shared" si="21"/>
        <v>3.8345764999999998</v>
      </c>
      <c r="CM63" s="65">
        <f t="shared" si="21"/>
        <v>3.4560900000000001</v>
      </c>
      <c r="CN63" s="65">
        <f t="shared" si="21"/>
        <v>2.6941924999999998</v>
      </c>
      <c r="CO63" s="65">
        <f t="shared" si="21"/>
        <v>2.9608365000000001</v>
      </c>
      <c r="CP63" s="65">
        <f t="shared" si="21"/>
        <v>3.1609595000000001</v>
      </c>
      <c r="CQ63" s="65">
        <f t="shared" si="21"/>
        <v>3.3903175000000001</v>
      </c>
      <c r="CW63" s="4" t="s">
        <v>151</v>
      </c>
      <c r="CX63" s="4" t="s">
        <v>152</v>
      </c>
      <c r="CY63" s="4" t="s">
        <v>152</v>
      </c>
      <c r="CZ63" s="4" t="s">
        <v>152</v>
      </c>
      <c r="DA63" s="4" t="s">
        <v>152</v>
      </c>
      <c r="DB63" s="4" t="s">
        <v>152</v>
      </c>
      <c r="DC63" s="4" t="s">
        <v>138</v>
      </c>
      <c r="DD63" s="4" t="s">
        <v>138</v>
      </c>
      <c r="DE63" s="4" t="s">
        <v>153</v>
      </c>
      <c r="DF63" s="4"/>
      <c r="DG63" s="4"/>
      <c r="DH63" s="4"/>
      <c r="DI63" s="4"/>
      <c r="DJ63" s="4"/>
      <c r="DK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</row>
    <row r="64" spans="1:136" x14ac:dyDescent="0.2">
      <c r="A64" t="s">
        <v>154</v>
      </c>
      <c r="B64" t="s">
        <v>150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68">
        <f>SourcedData!BN41</f>
        <v>2.9068800000000001</v>
      </c>
      <c r="BJ64" s="69">
        <f>BJ89</f>
        <v>1.2945960000000001</v>
      </c>
      <c r="BK64" s="69">
        <f>BK89</f>
        <v>0.73718600000000001</v>
      </c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16"/>
      <c r="BX64" s="11"/>
      <c r="BY64" s="11"/>
      <c r="BZ64" s="11"/>
      <c r="CA64" s="11"/>
      <c r="CB64" s="11"/>
      <c r="CC64" s="11"/>
      <c r="CD64" s="11"/>
      <c r="CE64" s="65">
        <f>SUM(BI64:BJ64)/2</f>
        <v>2.1007380000000002</v>
      </c>
      <c r="CF64" s="65">
        <f>SUM(BJ64:BK64)/2+BK64/2</f>
        <v>1.384484</v>
      </c>
      <c r="CG64" s="11"/>
      <c r="CH64" s="11"/>
      <c r="CI64" s="11"/>
      <c r="CJ64" s="11"/>
      <c r="CK64" s="11"/>
      <c r="CL64" s="11"/>
      <c r="CM64" s="24"/>
      <c r="CN64" s="24"/>
      <c r="CO64" s="24"/>
      <c r="CP64" s="11"/>
      <c r="CS64" t="s">
        <v>155</v>
      </c>
      <c r="CW64" s="4" t="s">
        <v>151</v>
      </c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</row>
    <row r="65" spans="1:196" x14ac:dyDescent="0.2">
      <c r="A65" t="s">
        <v>147</v>
      </c>
      <c r="B65" t="s">
        <v>150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68">
        <f>SourcedData!BN42</f>
        <v>0.121263</v>
      </c>
      <c r="BJ65" s="68">
        <f>SourcedData!BO42</f>
        <v>0.28602100000000003</v>
      </c>
      <c r="BK65" s="68">
        <f>SourcedData!BP42</f>
        <v>0.16414999999999999</v>
      </c>
      <c r="BL65" s="68"/>
      <c r="BM65" s="68"/>
      <c r="BN65" s="68"/>
      <c r="BO65" s="68"/>
      <c r="BP65" s="68"/>
      <c r="BQ65" s="68"/>
      <c r="BR65" s="68"/>
      <c r="BS65" s="65">
        <f>BS91</f>
        <v>0</v>
      </c>
      <c r="BT65" s="65">
        <f>BT91</f>
        <v>2.4461309999999998</v>
      </c>
      <c r="BU65" s="65">
        <f>BU91</f>
        <v>3.1947899999999998</v>
      </c>
      <c r="BV65" s="65">
        <f>BV91</f>
        <v>3.2814899999999998</v>
      </c>
      <c r="BW65" s="16"/>
      <c r="BX65" s="11"/>
      <c r="BY65" s="11"/>
      <c r="BZ65" s="11"/>
      <c r="CA65" s="11"/>
      <c r="CB65" s="11"/>
      <c r="CC65" s="11"/>
      <c r="CD65" s="11"/>
      <c r="CE65" s="65">
        <f>SUM(BI65:BJ65)/2</f>
        <v>0.20364200000000002</v>
      </c>
      <c r="CF65" s="65">
        <f>SUM(BJ65:BK65)/2+BK65/2</f>
        <v>0.3071605</v>
      </c>
      <c r="CG65" s="11"/>
      <c r="CH65" s="11"/>
      <c r="CI65" s="11"/>
      <c r="CJ65" s="11"/>
      <c r="CK65" s="11"/>
      <c r="CL65" s="11"/>
      <c r="CM65" s="24"/>
      <c r="CN65" s="24"/>
      <c r="CO65" s="65">
        <f>SUM(BS65:BT66)/2</f>
        <v>3.2407589999999997</v>
      </c>
      <c r="CP65" s="65">
        <f>SUM(BT65:BU66)/2</f>
        <v>2.8204604999999998</v>
      </c>
      <c r="CQ65" s="65">
        <f>SUM(BU65:BV66)/2</f>
        <v>3.2381399999999996</v>
      </c>
      <c r="CS65" t="s">
        <v>156</v>
      </c>
      <c r="CW65" s="4" t="s">
        <v>151</v>
      </c>
      <c r="CX65" s="4" t="s">
        <v>152</v>
      </c>
      <c r="CY65" s="4" t="s">
        <v>152</v>
      </c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</row>
    <row r="66" spans="1:196" x14ac:dyDescent="0.2">
      <c r="A66" t="s">
        <v>148</v>
      </c>
      <c r="B66" t="s">
        <v>150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68">
        <f>SourcedData!BN43</f>
        <v>2.8200609999999999</v>
      </c>
      <c r="BJ66" s="65">
        <f>BJ92</f>
        <v>2.5851359999999999</v>
      </c>
      <c r="BK66" s="65">
        <f>BK92</f>
        <v>4.6387790000000004</v>
      </c>
      <c r="BL66" s="68">
        <f>SourcedData!BQ43</f>
        <v>6.2819130000000003</v>
      </c>
      <c r="BM66" s="65">
        <f t="shared" ref="BM66:BS66" si="22">BM92</f>
        <v>7.9008089999999997</v>
      </c>
      <c r="BN66" s="65">
        <f t="shared" si="22"/>
        <v>5.6866539999999999</v>
      </c>
      <c r="BO66" s="65">
        <f t="shared" si="22"/>
        <v>5.9091680000000002</v>
      </c>
      <c r="BP66" s="65">
        <f t="shared" si="22"/>
        <v>5.2824239999999998</v>
      </c>
      <c r="BQ66" s="65">
        <f t="shared" si="22"/>
        <v>4.2996480000000004</v>
      </c>
      <c r="BR66" s="65">
        <f t="shared" si="22"/>
        <v>5.2791689999999996</v>
      </c>
      <c r="BS66" s="65">
        <f t="shared" si="22"/>
        <v>4.0353870000000001</v>
      </c>
      <c r="BT66" s="65" t="s">
        <v>157</v>
      </c>
      <c r="BU66" s="65" t="s">
        <v>157</v>
      </c>
      <c r="BV66" s="65" t="s">
        <v>157</v>
      </c>
      <c r="BW66" s="16"/>
      <c r="BX66" s="11"/>
      <c r="BY66" s="11"/>
      <c r="BZ66" s="11"/>
      <c r="CA66" s="11"/>
      <c r="CB66" s="11"/>
      <c r="CC66" s="11"/>
      <c r="CD66" s="11"/>
      <c r="CE66" s="65">
        <f>SUM(BI66:BJ66)/2</f>
        <v>2.7025984999999997</v>
      </c>
      <c r="CF66" s="65">
        <f t="shared" ref="CF66:CN66" si="23">SUM(BJ66:BK66)/2</f>
        <v>3.6119574999999999</v>
      </c>
      <c r="CG66" s="65">
        <f t="shared" si="23"/>
        <v>5.4603460000000004</v>
      </c>
      <c r="CH66" s="65">
        <f t="shared" si="23"/>
        <v>7.091361</v>
      </c>
      <c r="CI66" s="65">
        <f t="shared" si="23"/>
        <v>6.7937314999999998</v>
      </c>
      <c r="CJ66" s="65">
        <f t="shared" si="23"/>
        <v>5.797911</v>
      </c>
      <c r="CK66" s="65">
        <f t="shared" si="23"/>
        <v>5.595796</v>
      </c>
      <c r="CL66" s="65">
        <f t="shared" si="23"/>
        <v>4.7910360000000001</v>
      </c>
      <c r="CM66" s="65">
        <f t="shared" si="23"/>
        <v>4.7894085000000004</v>
      </c>
      <c r="CN66" s="65">
        <f t="shared" si="23"/>
        <v>4.6572779999999998</v>
      </c>
      <c r="CO66" s="24"/>
      <c r="CS66" t="s">
        <v>158</v>
      </c>
      <c r="CW66" s="4" t="s">
        <v>151</v>
      </c>
      <c r="CX66" s="4" t="s">
        <v>152</v>
      </c>
      <c r="CY66" s="4" t="s">
        <v>152</v>
      </c>
      <c r="CZ66" s="4" t="s">
        <v>152</v>
      </c>
      <c r="DA66" s="4" t="s">
        <v>152</v>
      </c>
      <c r="DB66" s="4" t="s">
        <v>152</v>
      </c>
      <c r="DC66" s="4" t="s">
        <v>138</v>
      </c>
      <c r="DD66" s="4" t="s">
        <v>138</v>
      </c>
      <c r="DE66" s="4" t="s">
        <v>153</v>
      </c>
      <c r="DF66" s="4"/>
      <c r="DG66" s="4"/>
      <c r="DH66" s="4"/>
      <c r="DI66" s="4"/>
      <c r="DJ66" s="4"/>
      <c r="DK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</row>
    <row r="67" spans="1:196" x14ac:dyDescent="0.2">
      <c r="A67" s="13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24"/>
      <c r="BV67" s="16"/>
      <c r="BW67" s="16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24"/>
      <c r="CM67" s="24"/>
      <c r="CN67" s="24"/>
      <c r="CO67" s="2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</row>
    <row r="68" spans="1:196" x14ac:dyDescent="0.2">
      <c r="A68" s="1" t="s">
        <v>159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63"/>
      <c r="Z68" s="63"/>
      <c r="AA68" s="63"/>
      <c r="AB68" s="63"/>
      <c r="AC68" s="63"/>
      <c r="AD68" s="63"/>
      <c r="AE68" s="63"/>
      <c r="AF68" s="63"/>
      <c r="AG68" s="63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L68" s="16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24"/>
      <c r="CM68" s="24"/>
      <c r="CN68" s="24"/>
      <c r="CO68" s="2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</row>
    <row r="69" spans="1:196" x14ac:dyDescent="0.2">
      <c r="A69" t="s">
        <v>98</v>
      </c>
      <c r="B69" t="s">
        <v>85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63">
        <f>(0.7051)</f>
        <v>0.70509999999999995</v>
      </c>
      <c r="Y69" s="63">
        <f>(0.7875)</f>
        <v>0.78749999999999998</v>
      </c>
      <c r="Z69" s="63">
        <f>(0.6703)</f>
        <v>0.67030000000000001</v>
      </c>
      <c r="AA69" s="63">
        <f>(0.3197)</f>
        <v>0.31969999999999998</v>
      </c>
      <c r="AB69" s="63">
        <f>(0.5345)</f>
        <v>0.53449999999999998</v>
      </c>
      <c r="AC69" s="63">
        <f>(0.7141)</f>
        <v>0.71409999999999996</v>
      </c>
      <c r="AD69" s="63">
        <f>(0.4787)</f>
        <v>0.47870000000000001</v>
      </c>
      <c r="AE69" s="63">
        <f>(0.6661)</f>
        <v>0.66610000000000003</v>
      </c>
      <c r="AF69" s="63">
        <f>0.6333</f>
        <v>0.63329999999999997</v>
      </c>
      <c r="AG69" s="63">
        <f>0.774</f>
        <v>0.77400000000000002</v>
      </c>
      <c r="AH69" s="63">
        <f>0.7032</f>
        <v>0.70320000000000005</v>
      </c>
      <c r="AI69" s="63">
        <f>0.8425</f>
        <v>0.84250000000000003</v>
      </c>
      <c r="AJ69" s="63">
        <f>0.7412</f>
        <v>0.74119999999999997</v>
      </c>
      <c r="AK69" s="63">
        <f>0.6384</f>
        <v>0.63839999999999997</v>
      </c>
      <c r="AL69" s="63">
        <f>0.5883</f>
        <v>0.58830000000000005</v>
      </c>
      <c r="AM69" s="63">
        <f>0.4612</f>
        <v>0.4612</v>
      </c>
      <c r="AN69" s="63">
        <f>0.6006</f>
        <v>0.60060000000000002</v>
      </c>
      <c r="AO69" s="63">
        <f>0.5698</f>
        <v>0.56979999999999997</v>
      </c>
      <c r="AP69" s="63">
        <f>0.6592</f>
        <v>0.65920000000000001</v>
      </c>
      <c r="AQ69" s="63">
        <f>0.6541</f>
        <v>0.65410000000000001</v>
      </c>
      <c r="AR69" s="63">
        <f>0.4449</f>
        <v>0.44490000000000002</v>
      </c>
      <c r="AS69" s="63">
        <f>0.3174</f>
        <v>0.31740000000000002</v>
      </c>
      <c r="AT69" s="63">
        <f>0.7413</f>
        <v>0.74129999999999996</v>
      </c>
      <c r="AU69" s="63">
        <f>SourcedData!BA44</f>
        <v>0.5837</v>
      </c>
      <c r="AV69" s="11">
        <f>SourcedData!BB44</f>
        <v>0.52</v>
      </c>
      <c r="AW69" s="11">
        <f>SourcedData!BC44</f>
        <v>0.57599999999999996</v>
      </c>
      <c r="AX69" s="11">
        <f>SourcedData!BD44</f>
        <v>0.68799999999999994</v>
      </c>
      <c r="AY69" s="11">
        <f>SourcedData!BE44</f>
        <v>1.1180000000000001</v>
      </c>
      <c r="AZ69" s="11">
        <f>SourcedData!BF44</f>
        <v>0.48699999999999999</v>
      </c>
      <c r="BA69" s="11">
        <f>SourcedData!BG44</f>
        <v>0.64700000000000002</v>
      </c>
      <c r="BB69" s="11">
        <f>SourcedData!BH44</f>
        <v>0.92800000000000005</v>
      </c>
      <c r="BC69" s="11">
        <f>SourcedData!BI44</f>
        <v>0.84499999999999997</v>
      </c>
      <c r="BD69" s="11">
        <f>SourcedData!BJ44</f>
        <v>0.621</v>
      </c>
      <c r="BE69" s="11">
        <f>SourcedData!BK44</f>
        <v>0.628</v>
      </c>
      <c r="BF69" s="11">
        <f>SourcedData!BL44</f>
        <v>0.73699999999999999</v>
      </c>
      <c r="BG69" s="11">
        <f>SourcedData!BM44</f>
        <v>0.55300000000000005</v>
      </c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4" t="s">
        <v>160</v>
      </c>
      <c r="EH69" s="4" t="s">
        <v>160</v>
      </c>
      <c r="EI69" s="4" t="s">
        <v>160</v>
      </c>
      <c r="EJ69" s="4" t="s">
        <v>96</v>
      </c>
      <c r="EK69" s="4" t="s">
        <v>96</v>
      </c>
      <c r="EL69" s="4" t="s">
        <v>96</v>
      </c>
      <c r="EM69" s="4" t="s">
        <v>96</v>
      </c>
      <c r="EN69" s="4" t="s">
        <v>96</v>
      </c>
      <c r="EO69" s="4" t="s">
        <v>97</v>
      </c>
      <c r="EP69" s="4" t="s">
        <v>97</v>
      </c>
      <c r="EQ69" s="4" t="s">
        <v>97</v>
      </c>
      <c r="ER69" s="4" t="s">
        <v>97</v>
      </c>
      <c r="ES69" s="4" t="s">
        <v>113</v>
      </c>
      <c r="ET69" s="4" t="s">
        <v>113</v>
      </c>
      <c r="EU69" s="4" t="s">
        <v>113</v>
      </c>
      <c r="EV69" s="4" t="s">
        <v>113</v>
      </c>
      <c r="EW69" s="4" t="s">
        <v>114</v>
      </c>
      <c r="EX69" s="4" t="s">
        <v>114</v>
      </c>
      <c r="EY69" s="4" t="s">
        <v>114</v>
      </c>
      <c r="EZ69" s="4" t="s">
        <v>114</v>
      </c>
      <c r="FA69" s="4" t="s">
        <v>115</v>
      </c>
      <c r="FB69" s="4" t="s">
        <v>115</v>
      </c>
      <c r="FC69" s="4" t="s">
        <v>115</v>
      </c>
      <c r="FD69" s="4" t="s">
        <v>115</v>
      </c>
      <c r="FE69" s="4" t="s">
        <v>116</v>
      </c>
      <c r="FF69" s="4" t="s">
        <v>116</v>
      </c>
      <c r="FG69" s="4" t="s">
        <v>116</v>
      </c>
      <c r="FH69" s="4" t="s">
        <v>116</v>
      </c>
      <c r="FI69" s="4"/>
      <c r="FJ69" s="4"/>
      <c r="FK69" s="4"/>
      <c r="FL69" s="4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</row>
    <row r="70" spans="1:196" x14ac:dyDescent="0.2">
      <c r="A70" t="s">
        <v>104</v>
      </c>
      <c r="B70" t="s">
        <v>85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63">
        <f>1.4161</f>
        <v>1.4160999999999999</v>
      </c>
      <c r="Y70" s="63">
        <f>0.6886</f>
        <v>0.68859999999999999</v>
      </c>
      <c r="Z70" s="63">
        <f>1.3168</f>
        <v>1.3168</v>
      </c>
      <c r="AA70" s="63">
        <f>1.9798</f>
        <v>1.9798</v>
      </c>
      <c r="AB70" s="63">
        <f>1.9367</f>
        <v>1.9367000000000001</v>
      </c>
      <c r="AC70" s="63">
        <f>1.0643</f>
        <v>1.0643</v>
      </c>
      <c r="AD70" s="63">
        <f>1.2758</f>
        <v>1.2758</v>
      </c>
      <c r="AE70" s="63">
        <f>SourcedData!AK45</f>
        <v>2.4851999999999999</v>
      </c>
      <c r="AF70" s="63">
        <f>0.2395</f>
        <v>0.23949999999999999</v>
      </c>
      <c r="AG70" s="63">
        <f>1.6032</f>
        <v>1.6032</v>
      </c>
      <c r="AH70" s="63">
        <f>1.9731</f>
        <v>1.9731000000000001</v>
      </c>
      <c r="AI70" s="63">
        <f>2.3326</f>
        <v>2.3325999999999998</v>
      </c>
      <c r="AJ70" s="63">
        <f>0.4508</f>
        <v>0.45079999999999998</v>
      </c>
      <c r="AK70" s="63">
        <f>0.7618</f>
        <v>0.76180000000000003</v>
      </c>
      <c r="AL70" s="63">
        <f>2.0085</f>
        <v>2.0085000000000002</v>
      </c>
      <c r="AM70" s="63">
        <f>1.2092</f>
        <v>1.2092000000000001</v>
      </c>
      <c r="AN70" s="63">
        <f>0.5951</f>
        <v>0.59509999999999996</v>
      </c>
      <c r="AO70" s="63">
        <f>0.0566</f>
        <v>5.6599999999999998E-2</v>
      </c>
      <c r="AP70" s="63">
        <f>1.3147</f>
        <v>1.3147</v>
      </c>
      <c r="AQ70" s="63">
        <f>1.0843</f>
        <v>1.0843</v>
      </c>
      <c r="AR70" s="63">
        <f>0.1728</f>
        <v>0.17280000000000001</v>
      </c>
      <c r="AS70" s="63">
        <f>0.2097</f>
        <v>0.2097</v>
      </c>
      <c r="AT70" s="63">
        <f>1.5229</f>
        <v>1.5228999999999999</v>
      </c>
      <c r="AU70" s="63">
        <f>SourcedData!BA45</f>
        <v>1.4890000000000001</v>
      </c>
      <c r="AV70" s="11">
        <f>SourcedData!BB45</f>
        <v>0.57599999999999996</v>
      </c>
      <c r="AW70" s="11">
        <f>SourcedData!BC45</f>
        <v>0.94799999999999995</v>
      </c>
      <c r="AX70" s="11">
        <f>SourcedData!BD45</f>
        <v>0.94599999999999995</v>
      </c>
      <c r="AY70" s="11">
        <f>SourcedData!BE45</f>
        <v>0.66200000000000003</v>
      </c>
      <c r="AZ70" s="11">
        <f>SourcedData!BF45</f>
        <v>0.56100000000000005</v>
      </c>
      <c r="BA70" s="11">
        <f>SourcedData!BG45</f>
        <v>0.92300000000000004</v>
      </c>
      <c r="BB70" s="11">
        <f>SourcedData!BH45</f>
        <v>1.117</v>
      </c>
      <c r="BC70" s="11">
        <f>SourcedData!BI45</f>
        <v>0.17599999999999999</v>
      </c>
      <c r="BD70" s="11"/>
      <c r="BE70" s="11"/>
      <c r="BF70" s="11"/>
      <c r="BG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4" t="s">
        <v>160</v>
      </c>
      <c r="EH70" s="4" t="s">
        <v>160</v>
      </c>
      <c r="EI70" s="4" t="s">
        <v>160</v>
      </c>
      <c r="EJ70" s="4" t="s">
        <v>96</v>
      </c>
      <c r="EK70" s="4" t="s">
        <v>96</v>
      </c>
      <c r="EL70" s="4" t="s">
        <v>96</v>
      </c>
      <c r="EM70" s="4" t="s">
        <v>96</v>
      </c>
      <c r="EN70" s="4" t="s">
        <v>96</v>
      </c>
      <c r="EO70" s="4" t="s">
        <v>97</v>
      </c>
      <c r="EP70" s="4" t="s">
        <v>97</v>
      </c>
      <c r="EQ70" s="4" t="s">
        <v>97</v>
      </c>
      <c r="ER70" s="4" t="s">
        <v>97</v>
      </c>
      <c r="ES70" s="4" t="s">
        <v>113</v>
      </c>
      <c r="ET70" s="4" t="s">
        <v>113</v>
      </c>
      <c r="EU70" s="4" t="s">
        <v>113</v>
      </c>
      <c r="EV70" s="4" t="s">
        <v>113</v>
      </c>
      <c r="EW70" s="4" t="s">
        <v>114</v>
      </c>
      <c r="EX70" s="4" t="s">
        <v>114</v>
      </c>
      <c r="EY70" s="4" t="s">
        <v>114</v>
      </c>
      <c r="EZ70" s="4" t="s">
        <v>114</v>
      </c>
      <c r="FA70" s="4" t="s">
        <v>115</v>
      </c>
      <c r="FB70" s="4" t="s">
        <v>115</v>
      </c>
      <c r="FC70" s="4" t="s">
        <v>115</v>
      </c>
      <c r="FD70" s="4" t="s">
        <v>115</v>
      </c>
      <c r="FE70" s="4" t="s">
        <v>116</v>
      </c>
      <c r="FF70" s="4" t="s">
        <v>116</v>
      </c>
      <c r="FG70" s="4" t="s">
        <v>116</v>
      </c>
      <c r="FH70" s="4" t="s">
        <v>116</v>
      </c>
      <c r="FI70" s="4"/>
      <c r="FJ70" s="4"/>
      <c r="FK70" s="4"/>
      <c r="FL70" s="4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</row>
    <row r="71" spans="1:196" x14ac:dyDescent="0.2">
      <c r="A71" t="s">
        <v>101</v>
      </c>
      <c r="B71" t="s">
        <v>85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</row>
    <row r="72" spans="1:196" x14ac:dyDescent="0.2">
      <c r="A72" t="s">
        <v>145</v>
      </c>
      <c r="B72" t="s">
        <v>85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</row>
    <row r="73" spans="1:196" x14ac:dyDescent="0.2">
      <c r="A73" s="11" t="s">
        <v>146</v>
      </c>
      <c r="B73" s="11" t="s">
        <v>85</v>
      </c>
      <c r="C73" s="16"/>
      <c r="D73" s="11"/>
      <c r="E73" s="11"/>
      <c r="F73" s="11"/>
      <c r="G73" s="11"/>
      <c r="H73" s="11"/>
      <c r="I73" s="25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</row>
    <row r="74" spans="1:196" x14ac:dyDescent="0.2">
      <c r="A74" s="11" t="s">
        <v>147</v>
      </c>
      <c r="B74" s="11" t="s">
        <v>85</v>
      </c>
      <c r="C74" s="16"/>
      <c r="D74" s="11"/>
      <c r="E74" s="11"/>
      <c r="F74" s="11"/>
      <c r="G74" s="11"/>
      <c r="H74" s="11"/>
      <c r="I74" s="25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</row>
    <row r="75" spans="1:196" ht="14.25" customHeight="1" x14ac:dyDescent="0.2">
      <c r="A75" s="11" t="s">
        <v>148</v>
      </c>
      <c r="B75" s="11" t="s">
        <v>85</v>
      </c>
      <c r="C75" s="16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</row>
    <row r="76" spans="1:196" ht="14.25" customHeight="1" x14ac:dyDescent="0.2">
      <c r="A76" t="s">
        <v>93</v>
      </c>
      <c r="B76" s="11" t="s">
        <v>85</v>
      </c>
      <c r="C76" s="16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63">
        <f>1.702</f>
        <v>1.702</v>
      </c>
      <c r="Y76" s="63">
        <f>1.4674</f>
        <v>1.4674</v>
      </c>
      <c r="Z76" s="63">
        <f>1.7121</f>
        <v>1.7121</v>
      </c>
      <c r="AA76" s="63">
        <f>1.6049</f>
        <v>1.6049</v>
      </c>
      <c r="AB76" s="63">
        <f>1.396</f>
        <v>1.3959999999999999</v>
      </c>
      <c r="AC76" s="63">
        <f>1.3242</f>
        <v>1.3242</v>
      </c>
      <c r="AD76" s="63">
        <f>1.5647</f>
        <v>1.5647</v>
      </c>
      <c r="AE76" s="63">
        <f>1.3578</f>
        <v>1.3577999999999999</v>
      </c>
      <c r="AF76" s="63">
        <f>1.2136</f>
        <v>1.2136</v>
      </c>
      <c r="AG76" s="63">
        <f>1.7389</f>
        <v>1.7388999999999999</v>
      </c>
      <c r="AH76" s="63">
        <f>1.7092</f>
        <v>1.7092000000000001</v>
      </c>
      <c r="AI76" s="63">
        <f>1.2703</f>
        <v>1.2703</v>
      </c>
      <c r="AJ76" s="63">
        <f>1.3833</f>
        <v>1.3833</v>
      </c>
      <c r="AK76" s="63">
        <f>1.2219</f>
        <v>1.2219</v>
      </c>
      <c r="AL76" s="63">
        <f>1.3288</f>
        <v>1.3288</v>
      </c>
      <c r="AM76" s="63">
        <f>1.6809</f>
        <v>1.6809000000000001</v>
      </c>
      <c r="AN76" s="63">
        <f>1.3466</f>
        <v>1.3466</v>
      </c>
      <c r="AO76" s="63">
        <f>1.5541</f>
        <v>1.5541</v>
      </c>
      <c r="AP76" s="63">
        <f>1.5035</f>
        <v>1.5035000000000001</v>
      </c>
      <c r="AQ76" s="63">
        <f>1.5887</f>
        <v>1.5887</v>
      </c>
      <c r="AR76" s="63">
        <f>0.7464</f>
        <v>0.74639999999999995</v>
      </c>
      <c r="AS76" s="63">
        <f>0.5271</f>
        <v>0.52710000000000001</v>
      </c>
      <c r="AT76" s="63">
        <f>1.1494</f>
        <v>1.1494</v>
      </c>
      <c r="AU76" s="63">
        <f>SourcedData!BA46</f>
        <v>1.0229999999999999</v>
      </c>
      <c r="AV76" s="11">
        <f>SourcedData!BB46</f>
        <v>0.745</v>
      </c>
      <c r="AW76" s="11">
        <f>SourcedData!BC46</f>
        <v>0.874</v>
      </c>
      <c r="AX76" s="11">
        <f>SourcedData!BD46</f>
        <v>1.3380000000000001</v>
      </c>
      <c r="AY76" s="11">
        <f>SourcedData!BE46</f>
        <v>1.181</v>
      </c>
      <c r="AZ76" s="11">
        <f>SourcedData!BF46</f>
        <v>0.97699999999999998</v>
      </c>
      <c r="BA76" s="11">
        <f>SourcedData!BG46</f>
        <v>0.626</v>
      </c>
      <c r="BB76" s="11">
        <f>SourcedData!BH46</f>
        <v>1.0680000000000001</v>
      </c>
      <c r="BC76" s="11">
        <f>SourcedData!BI46</f>
        <v>1.0960000000000001</v>
      </c>
      <c r="BD76" s="11">
        <f>SourcedData!BJ46</f>
        <v>1.0860000000000001</v>
      </c>
      <c r="BE76" s="11">
        <f>SourcedData!BK46</f>
        <v>1.292</v>
      </c>
      <c r="BF76" s="11">
        <f>SourcedData!BL46</f>
        <v>0.97</v>
      </c>
      <c r="BG76" s="11">
        <f>SourcedData!BM46</f>
        <v>1.3380000000000001</v>
      </c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4" t="s">
        <v>160</v>
      </c>
      <c r="EH76" s="4" t="s">
        <v>160</v>
      </c>
      <c r="EI76" s="4" t="s">
        <v>160</v>
      </c>
      <c r="EJ76" s="4" t="s">
        <v>96</v>
      </c>
      <c r="EK76" s="4" t="s">
        <v>96</v>
      </c>
      <c r="EL76" s="4" t="s">
        <v>96</v>
      </c>
      <c r="EM76" s="4" t="s">
        <v>96</v>
      </c>
      <c r="EN76" s="4" t="s">
        <v>96</v>
      </c>
      <c r="EO76" s="4" t="s">
        <v>97</v>
      </c>
      <c r="EP76" s="4" t="s">
        <v>97</v>
      </c>
      <c r="EQ76" s="4" t="s">
        <v>97</v>
      </c>
      <c r="ER76" s="4" t="s">
        <v>97</v>
      </c>
      <c r="ES76" s="4" t="s">
        <v>113</v>
      </c>
      <c r="ET76" s="4" t="s">
        <v>113</v>
      </c>
      <c r="EU76" s="4" t="s">
        <v>113</v>
      </c>
      <c r="EV76" s="4" t="s">
        <v>113</v>
      </c>
      <c r="EW76" s="4" t="s">
        <v>114</v>
      </c>
      <c r="EX76" s="4" t="s">
        <v>114</v>
      </c>
      <c r="EY76" s="4" t="s">
        <v>114</v>
      </c>
      <c r="EZ76" s="4" t="s">
        <v>114</v>
      </c>
      <c r="FA76" s="4" t="s">
        <v>115</v>
      </c>
      <c r="FB76" s="4" t="s">
        <v>115</v>
      </c>
      <c r="FC76" s="4" t="s">
        <v>115</v>
      </c>
      <c r="FD76" s="4" t="s">
        <v>115</v>
      </c>
      <c r="FE76" s="4" t="s">
        <v>116</v>
      </c>
      <c r="FF76" s="4" t="s">
        <v>116</v>
      </c>
      <c r="FG76" s="4" t="s">
        <v>116</v>
      </c>
      <c r="FH76" s="4" t="s">
        <v>116</v>
      </c>
      <c r="FI76" s="4"/>
      <c r="FJ76" s="4"/>
      <c r="FK76" s="4"/>
      <c r="FL76" s="4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</row>
    <row r="77" spans="1:196" x14ac:dyDescent="0.2">
      <c r="A77" t="s">
        <v>105</v>
      </c>
      <c r="B77" t="s">
        <v>85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63">
        <f>0.7098</f>
        <v>0.70979999999999999</v>
      </c>
      <c r="Y77" s="63">
        <f>0.1836</f>
        <v>0.18360000000000001</v>
      </c>
      <c r="Z77" s="63">
        <f>1.0125</f>
        <v>1.0125</v>
      </c>
      <c r="AA77" s="63">
        <f>0.1613</f>
        <v>0.1613</v>
      </c>
      <c r="AB77" s="63">
        <f>SourcedData!AH47</f>
        <v>0.8256</v>
      </c>
      <c r="AC77" s="63">
        <f>SourcedData!AI47</f>
        <v>1.3420000000000001</v>
      </c>
      <c r="AD77" s="63">
        <f>SourcedData!AJ47</f>
        <v>1.2398</v>
      </c>
      <c r="AE77" s="63">
        <f>SourcedData!AK47</f>
        <v>0.35610000000000003</v>
      </c>
      <c r="AF77" s="63">
        <f>SourcedData!AL47</f>
        <v>1.3331999999999999</v>
      </c>
      <c r="AG77" s="63">
        <f>SourcedData!AM47</f>
        <v>1.0325</v>
      </c>
      <c r="AH77" s="63">
        <f>SourcedData!AN47</f>
        <v>1.3445</v>
      </c>
      <c r="AI77" s="63">
        <f>SourcedData!AO47</f>
        <v>1.0117</v>
      </c>
      <c r="AJ77" s="63">
        <f>SourcedData!AP47</f>
        <v>0.54090000000000005</v>
      </c>
      <c r="AK77" s="63">
        <f>SourcedData!AQ47</f>
        <v>0.56089999999999995</v>
      </c>
      <c r="AL77" s="63">
        <f>SourcedData!AR47</f>
        <v>4.4999999999999997E-3</v>
      </c>
      <c r="AM77" s="63">
        <f>0</f>
        <v>0</v>
      </c>
      <c r="AN77" s="63">
        <f>0</f>
        <v>0</v>
      </c>
      <c r="AO77" s="63">
        <f>0</f>
        <v>0</v>
      </c>
      <c r="AP77" s="63">
        <f>0.0195</f>
        <v>1.95E-2</v>
      </c>
      <c r="AQ77" s="63">
        <f>0.0521</f>
        <v>5.21E-2</v>
      </c>
      <c r="AR77" s="63">
        <f>0.1252</f>
        <v>0.12520000000000001</v>
      </c>
      <c r="AS77" s="63">
        <f>0.8563</f>
        <v>0.85629999999999995</v>
      </c>
      <c r="AT77" s="63">
        <f>1.2774</f>
        <v>1.2774000000000001</v>
      </c>
      <c r="AU77" s="63">
        <f>SourcedData!BA47</f>
        <v>0.77759999999999996</v>
      </c>
      <c r="AV77" s="11">
        <f>SourcedData!BB47</f>
        <v>0.97599999999999998</v>
      </c>
      <c r="AW77" s="11">
        <f>SourcedData!BC47</f>
        <v>0.24</v>
      </c>
      <c r="AX77" s="11">
        <f>SourcedData!BD47</f>
        <v>0.56000000000000005</v>
      </c>
      <c r="AY77" s="11">
        <f>SourcedData!BE47</f>
        <v>1.0209999999999999</v>
      </c>
      <c r="AZ77" s="11">
        <f>SourcedData!BF47</f>
        <v>0.96699999999999997</v>
      </c>
      <c r="BA77" s="11">
        <f>SourcedData!BG47</f>
        <v>1.2150000000000001</v>
      </c>
      <c r="BB77" s="11">
        <f>SourcedData!BH47</f>
        <v>0.191</v>
      </c>
      <c r="BC77" s="11">
        <f>SourcedData!BI47</f>
        <v>0</v>
      </c>
      <c r="BD77" s="11"/>
      <c r="BE77" s="11"/>
      <c r="BF77" s="11"/>
      <c r="BG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4" t="s">
        <v>160</v>
      </c>
      <c r="EH77" s="4" t="s">
        <v>160</v>
      </c>
      <c r="EI77" s="4" t="s">
        <v>160</v>
      </c>
      <c r="EJ77" s="4" t="s">
        <v>96</v>
      </c>
      <c r="EK77" s="4" t="s">
        <v>96</v>
      </c>
      <c r="EL77" s="4" t="s">
        <v>96</v>
      </c>
      <c r="EM77" s="4" t="s">
        <v>96</v>
      </c>
      <c r="EN77" s="4" t="s">
        <v>96</v>
      </c>
      <c r="EO77" s="4" t="s">
        <v>97</v>
      </c>
      <c r="EP77" s="4" t="s">
        <v>97</v>
      </c>
      <c r="EQ77" s="4" t="s">
        <v>97</v>
      </c>
      <c r="ER77" s="4" t="s">
        <v>97</v>
      </c>
      <c r="ES77" s="4" t="s">
        <v>113</v>
      </c>
      <c r="ET77" s="4" t="s">
        <v>113</v>
      </c>
      <c r="EU77" s="4" t="s">
        <v>113</v>
      </c>
      <c r="EV77" s="4" t="s">
        <v>113</v>
      </c>
      <c r="EW77" s="4" t="s">
        <v>114</v>
      </c>
      <c r="EX77" s="4" t="s">
        <v>114</v>
      </c>
      <c r="EY77" s="4" t="s">
        <v>114</v>
      </c>
      <c r="EZ77" s="4" t="s">
        <v>114</v>
      </c>
      <c r="FA77" s="4" t="s">
        <v>115</v>
      </c>
      <c r="FB77" s="4" t="s">
        <v>115</v>
      </c>
      <c r="FC77" s="4" t="s">
        <v>115</v>
      </c>
      <c r="FD77" s="4" t="s">
        <v>115</v>
      </c>
      <c r="FE77" s="4" t="s">
        <v>116</v>
      </c>
      <c r="FF77" s="4" t="s">
        <v>116</v>
      </c>
      <c r="FG77" s="4" t="s">
        <v>116</v>
      </c>
      <c r="FH77" s="4" t="s">
        <v>116</v>
      </c>
      <c r="FI77" s="4"/>
      <c r="FJ77" s="4"/>
      <c r="FK77" s="4"/>
      <c r="FL77" s="4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</row>
    <row r="78" spans="1:196" x14ac:dyDescent="0.2">
      <c r="A78" t="s">
        <v>128</v>
      </c>
      <c r="B78" t="s">
        <v>85</v>
      </c>
      <c r="D78" s="11"/>
      <c r="E78" s="29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</row>
    <row r="79" spans="1:196" x14ac:dyDescent="0.2">
      <c r="A79" s="11" t="s">
        <v>122</v>
      </c>
      <c r="B79" t="s">
        <v>85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</row>
    <row r="80" spans="1:196" x14ac:dyDescent="0.2">
      <c r="A80" t="s">
        <v>103</v>
      </c>
      <c r="B80" t="s">
        <v>85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63">
        <f>0.7094</f>
        <v>0.70940000000000003</v>
      </c>
      <c r="Y80" s="63">
        <f>0.8364</f>
        <v>0.83640000000000003</v>
      </c>
      <c r="Z80" s="63">
        <f>0.8198</f>
        <v>0.81979999999999997</v>
      </c>
      <c r="AA80" s="63">
        <f>0.8582</f>
        <v>0.85819999999999996</v>
      </c>
      <c r="AB80" s="63">
        <f>0.8463</f>
        <v>0.84630000000000005</v>
      </c>
      <c r="AC80" s="63">
        <f>0.8173</f>
        <v>0.81730000000000003</v>
      </c>
      <c r="AD80" s="63">
        <f>0.8233</f>
        <v>0.82330000000000003</v>
      </c>
      <c r="AE80" s="63">
        <f>0.7819</f>
        <v>0.78190000000000004</v>
      </c>
      <c r="AF80" s="63">
        <f>0.7366</f>
        <v>0.73660000000000003</v>
      </c>
      <c r="AG80" s="63">
        <f>0.6949</f>
        <v>0.69489999999999996</v>
      </c>
      <c r="AH80" s="63">
        <f>0.8389</f>
        <v>0.83889999999999998</v>
      </c>
      <c r="AI80" s="63">
        <f>0.8265</f>
        <v>0.82650000000000001</v>
      </c>
      <c r="AJ80" s="63">
        <f>0.71</f>
        <v>0.71</v>
      </c>
      <c r="AK80" s="63">
        <f>0.7942</f>
        <v>0.79420000000000002</v>
      </c>
      <c r="AL80" s="63">
        <f>0.906</f>
        <v>0.90600000000000003</v>
      </c>
      <c r="AM80" s="63">
        <f>0.8311</f>
        <v>0.83109999999999995</v>
      </c>
      <c r="AN80" s="63">
        <f>0.7362</f>
        <v>0.73619999999999997</v>
      </c>
      <c r="AO80" s="63">
        <f>0.7881</f>
        <v>0.78810000000000002</v>
      </c>
      <c r="AP80" s="63">
        <f>0.7916</f>
        <v>0.79159999999999997</v>
      </c>
      <c r="AQ80" s="63">
        <f>0.8022</f>
        <v>0.80220000000000002</v>
      </c>
      <c r="AR80" s="63">
        <f>0.7371</f>
        <v>0.73709999999999998</v>
      </c>
      <c r="AS80" s="63">
        <f>0.7101</f>
        <v>0.71009999999999995</v>
      </c>
      <c r="AT80" s="63">
        <f>0.8192</f>
        <v>0.81920000000000004</v>
      </c>
      <c r="AU80" s="63">
        <f>SourcedData!BA48</f>
        <v>0.77569999999999995</v>
      </c>
      <c r="AV80" s="11">
        <f>SourcedData!BB48</f>
        <v>0.71599999999999997</v>
      </c>
      <c r="AW80" s="11">
        <f>SourcedData!BC48</f>
        <v>0.71799999999999997</v>
      </c>
      <c r="AX80" s="11">
        <f>SourcedData!BD48</f>
        <v>0.82399999999999995</v>
      </c>
      <c r="AY80" s="11">
        <f>SourcedData!BE48</f>
        <v>0.77400000000000002</v>
      </c>
      <c r="AZ80" s="11">
        <f>SourcedData!BF48</f>
        <v>0.78800000000000003</v>
      </c>
      <c r="BA80" s="11">
        <f>SourcedData!BG48</f>
        <v>0.82699999999999996</v>
      </c>
      <c r="BB80" s="11">
        <f>SourcedData!BH48</f>
        <v>0.79800000000000004</v>
      </c>
      <c r="BC80" s="11">
        <f>SourcedData!BI48</f>
        <v>0.307</v>
      </c>
      <c r="BD80" s="11"/>
      <c r="BE80" s="11"/>
      <c r="BF80" s="11"/>
      <c r="BG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4" t="s">
        <v>160</v>
      </c>
      <c r="EH80" s="4" t="s">
        <v>160</v>
      </c>
      <c r="EI80" s="4" t="s">
        <v>160</v>
      </c>
      <c r="EJ80" s="4" t="s">
        <v>96</v>
      </c>
      <c r="EK80" s="4" t="s">
        <v>96</v>
      </c>
      <c r="EL80" s="4" t="s">
        <v>96</v>
      </c>
      <c r="EM80" s="4" t="s">
        <v>96</v>
      </c>
      <c r="EN80" s="4" t="s">
        <v>96</v>
      </c>
      <c r="EO80" s="4" t="s">
        <v>97</v>
      </c>
      <c r="EP80" s="4" t="s">
        <v>97</v>
      </c>
      <c r="EQ80" s="4" t="s">
        <v>97</v>
      </c>
      <c r="ER80" s="4" t="s">
        <v>97</v>
      </c>
      <c r="ES80" s="4"/>
      <c r="ET80" s="4"/>
      <c r="EU80" s="4"/>
      <c r="EV80" s="4" t="s">
        <v>113</v>
      </c>
      <c r="EW80" s="4" t="s">
        <v>114</v>
      </c>
      <c r="EX80" s="4" t="s">
        <v>114</v>
      </c>
      <c r="EY80" s="4" t="s">
        <v>114</v>
      </c>
      <c r="EZ80" s="4" t="s">
        <v>114</v>
      </c>
      <c r="FA80" s="4" t="s">
        <v>115</v>
      </c>
      <c r="FB80" s="4" t="s">
        <v>115</v>
      </c>
      <c r="FC80" s="4" t="s">
        <v>115</v>
      </c>
      <c r="FD80" s="4" t="s">
        <v>115</v>
      </c>
      <c r="FE80" s="4" t="s">
        <v>116</v>
      </c>
      <c r="FF80" s="4" t="s">
        <v>116</v>
      </c>
      <c r="FG80" s="4" t="s">
        <v>116</v>
      </c>
      <c r="FH80" s="4" t="s">
        <v>116</v>
      </c>
      <c r="FI80" s="4"/>
      <c r="FJ80" s="4"/>
      <c r="FK80" s="4"/>
      <c r="FL80" s="4"/>
      <c r="FM80" s="4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</row>
    <row r="81" spans="1:169" x14ac:dyDescent="0.2">
      <c r="A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I81" s="68"/>
      <c r="BJ81" s="68"/>
      <c r="BK81" s="68"/>
      <c r="BL81" s="68"/>
      <c r="BM81" s="68"/>
      <c r="BN81" s="68"/>
      <c r="BO81" s="68"/>
      <c r="BP81" s="68"/>
      <c r="BQ81" s="68"/>
      <c r="BR81" s="67"/>
      <c r="BS81" s="67"/>
      <c r="BT81" s="63"/>
      <c r="BU81" s="63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24"/>
      <c r="CM81" s="24"/>
      <c r="CN81" s="24"/>
      <c r="CO81" s="2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</row>
    <row r="82" spans="1:169" ht="13.5" customHeight="1" x14ac:dyDescent="0.2">
      <c r="A82" t="s">
        <v>161</v>
      </c>
      <c r="B82" t="s">
        <v>126</v>
      </c>
      <c r="C82" s="22"/>
      <c r="D82" s="1"/>
      <c r="E82" s="1"/>
      <c r="F82" s="1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60">
        <f>SourcedData!AD49/5.2424</f>
        <v>0.90555852281397831</v>
      </c>
      <c r="Y82" s="60">
        <f>SourcedData!AE49/3.9635</f>
        <v>0.81670240948656492</v>
      </c>
      <c r="Z82" s="60">
        <f>SourcedData!AF49/5.5315</f>
        <v>0.84899213594865763</v>
      </c>
      <c r="AA82" s="60">
        <f>SourcedData!AG49/4.9239</f>
        <v>0.8733524238916307</v>
      </c>
      <c r="AB82" s="60">
        <f>SourcedData!AH49/5.5391</f>
        <v>0.87617121915112561</v>
      </c>
      <c r="AC82" s="60">
        <f>SourcedData!AI49/5.2619</f>
        <v>0.86181797449590447</v>
      </c>
      <c r="AD82" s="60">
        <f>SourcedData!AJ49/5.3823</f>
        <v>0.84458317076342826</v>
      </c>
      <c r="AE82" s="60">
        <f>SourcedData!AK49/5.6471</f>
        <v>0.86143330204883928</v>
      </c>
      <c r="AF82" s="60">
        <f>SourcedData!AL49/4.1562</f>
        <v>0.7855974207208507</v>
      </c>
      <c r="AG82" s="60">
        <f>SourcedData!AM49/5.8435</f>
        <v>0.84854967057414221</v>
      </c>
      <c r="AH82" s="60">
        <f>SourcedData!AN49/6.5689</f>
        <v>0.85492243754662112</v>
      </c>
      <c r="AI82" s="60">
        <f>SourcedData!AO49/6.2836</f>
        <v>0.81442166910688141</v>
      </c>
      <c r="AJ82" s="60">
        <f>SourcedData!AP49/3826200</f>
        <v>0.78725628560974337</v>
      </c>
      <c r="AK82" s="60">
        <f>SourcedData!AQ49/3977200</f>
        <v>0.80999195413858993</v>
      </c>
      <c r="AL82" s="60">
        <f>SourcedData!AR49/4836100</f>
        <v>0.82072331010525013</v>
      </c>
      <c r="AM82" s="60">
        <f>SourcedData!AS49/4182400</f>
        <v>0.77017980107115536</v>
      </c>
      <c r="AN82" s="60">
        <f>SourcedData!AT49/3278500</f>
        <v>0.76596004270245543</v>
      </c>
      <c r="AO82" s="60">
        <f>SourcedData!AU49/2968600</f>
        <v>0.78134474162905077</v>
      </c>
      <c r="AP82" s="60">
        <f>SourcedData!AV49/4288500</f>
        <v>0.8318526291244025</v>
      </c>
      <c r="AQ82" s="60">
        <f>SourcedData!AW49/4372100</f>
        <v>0.66842020996775009</v>
      </c>
      <c r="AR82" s="60">
        <f>SourcedData!AX49/2226400</f>
        <v>0.7873697448796263</v>
      </c>
      <c r="AS82" s="60">
        <f>SourcedData!AY49/2620600</f>
        <v>0.81111195909333744</v>
      </c>
      <c r="AT82" s="60">
        <f>SourcedData!AZ49/5510200</f>
        <v>0.8279554281151319</v>
      </c>
      <c r="AU82" s="60">
        <f>SourcedData!BA49/4.6498</f>
        <v>0.78439932900339804</v>
      </c>
      <c r="AV82" s="60">
        <f>SourcedData!BB49/3533</f>
        <v>0.80441551089725449</v>
      </c>
      <c r="AW82" s="60">
        <f>SourcedData!BC49/3356</f>
        <v>0.70262216924910603</v>
      </c>
      <c r="AX82" s="60">
        <f>SourcedData!BD49/3356</f>
        <v>0.70262216924910603</v>
      </c>
      <c r="AY82" s="60">
        <f>SourcedData!BE49/4756</f>
        <v>0.79983179142136251</v>
      </c>
      <c r="AZ82" s="60">
        <f>SourcedData!BF49/4756</f>
        <v>0.79983179142136251</v>
      </c>
      <c r="BA82" s="60">
        <f>SourcedData!BG49/4756</f>
        <v>0.79983179142136251</v>
      </c>
      <c r="BB82" s="60">
        <f>SourcedData!BH49/4756</f>
        <v>0.79983179142136251</v>
      </c>
      <c r="BC82" s="60">
        <f>SourcedData!BI49/4756</f>
        <v>0.79983179142136251</v>
      </c>
      <c r="BD82" s="102"/>
      <c r="BE82" s="102"/>
      <c r="BF82" s="102"/>
      <c r="BG82" s="102"/>
      <c r="BI82" s="68"/>
      <c r="BJ82" s="68"/>
      <c r="BK82" s="68"/>
      <c r="BL82" s="68"/>
      <c r="BM82" s="68"/>
      <c r="BN82" s="68"/>
      <c r="BO82" s="68"/>
      <c r="BP82" s="68"/>
      <c r="BQ82" s="68"/>
      <c r="BR82" s="63"/>
      <c r="BS82" s="63"/>
      <c r="BT82" s="63"/>
      <c r="BU82" s="63"/>
      <c r="BV82" s="1"/>
      <c r="BW82" s="1"/>
      <c r="BX82" s="1"/>
      <c r="BY82" s="1"/>
      <c r="BZ82" s="1"/>
      <c r="CA82" s="1"/>
      <c r="CB82" s="1"/>
      <c r="CC82" s="1"/>
      <c r="CJ82" s="52">
        <f t="shared" ref="CJ82:CQ83" ca="1" si="24">CJ99/SUM(CJ$86:CJ$97)</f>
        <v>0.86209213144496866</v>
      </c>
      <c r="CK82" s="52">
        <f t="shared" ca="1" si="24"/>
        <v>0.86113077509574365</v>
      </c>
      <c r="CL82" s="52">
        <f t="shared" ca="1" si="24"/>
        <v>0.82862691185947712</v>
      </c>
      <c r="CM82" s="52">
        <f t="shared" ca="1" si="24"/>
        <v>0.79782891409880929</v>
      </c>
      <c r="CN82" s="52">
        <f t="shared" ca="1" si="24"/>
        <v>0.76091076103233857</v>
      </c>
      <c r="CO82" s="52">
        <f t="shared" ca="1" si="24"/>
        <v>0.80459885805994202</v>
      </c>
      <c r="CP82" s="52">
        <f t="shared" si="24"/>
        <v>0.75339003340485411</v>
      </c>
      <c r="CQ82" s="52">
        <f t="shared" si="24"/>
        <v>0.79983179142136263</v>
      </c>
      <c r="CS82" t="s">
        <v>162</v>
      </c>
      <c r="CT82" s="1"/>
      <c r="CU82" s="4"/>
      <c r="CV82" s="1"/>
      <c r="CW82" s="1"/>
      <c r="CX82" s="17"/>
      <c r="CY82" s="1"/>
      <c r="CZ82" s="1"/>
      <c r="DA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4"/>
      <c r="DZ82" s="4"/>
      <c r="EA82" s="4"/>
      <c r="EB82" s="4"/>
      <c r="EC82" s="4"/>
      <c r="ED82" s="4"/>
      <c r="EE82" s="4"/>
      <c r="EF82" s="4"/>
      <c r="EG82" s="4" t="s">
        <v>160</v>
      </c>
      <c r="EH82" s="4" t="s">
        <v>160</v>
      </c>
      <c r="EI82" s="4" t="s">
        <v>160</v>
      </c>
      <c r="EJ82" s="4" t="s">
        <v>96</v>
      </c>
      <c r="EK82" s="4" t="s">
        <v>96</v>
      </c>
      <c r="EL82" s="4" t="s">
        <v>96</v>
      </c>
      <c r="EM82" s="4" t="s">
        <v>96</v>
      </c>
      <c r="EN82" s="4" t="s">
        <v>96</v>
      </c>
      <c r="EO82" s="4" t="s">
        <v>97</v>
      </c>
      <c r="EP82" s="4" t="s">
        <v>97</v>
      </c>
      <c r="EQ82" s="4" t="s">
        <v>97</v>
      </c>
      <c r="ER82" s="4" t="s">
        <v>97</v>
      </c>
      <c r="ES82" s="4" t="s">
        <v>113</v>
      </c>
      <c r="ET82" s="4" t="s">
        <v>113</v>
      </c>
      <c r="EU82" s="4" t="s">
        <v>113</v>
      </c>
      <c r="EV82" s="4" t="s">
        <v>113</v>
      </c>
      <c r="EW82" s="4" t="s">
        <v>114</v>
      </c>
      <c r="EX82" s="4" t="s">
        <v>114</v>
      </c>
      <c r="EY82" s="4" t="s">
        <v>114</v>
      </c>
      <c r="EZ82" s="4" t="s">
        <v>114</v>
      </c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</row>
    <row r="83" spans="1:169" ht="13.5" customHeight="1" x14ac:dyDescent="0.2">
      <c r="A83" t="s">
        <v>163</v>
      </c>
      <c r="B83" t="s">
        <v>126</v>
      </c>
      <c r="C83" s="22"/>
      <c r="D83" s="1"/>
      <c r="E83" s="1"/>
      <c r="F83" s="1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60">
        <f t="shared" ref="X83:AG83" si="25">1-X82</f>
        <v>9.4441477186021694E-2</v>
      </c>
      <c r="Y83" s="60">
        <f t="shared" si="25"/>
        <v>0.18329759051343508</v>
      </c>
      <c r="Z83" s="60">
        <f t="shared" si="25"/>
        <v>0.15100786405134237</v>
      </c>
      <c r="AA83" s="60">
        <f t="shared" si="25"/>
        <v>0.1266475761083693</v>
      </c>
      <c r="AB83" s="60">
        <f t="shared" si="25"/>
        <v>0.12382878084887439</v>
      </c>
      <c r="AC83" s="60">
        <f t="shared" si="25"/>
        <v>0.13818202550409553</v>
      </c>
      <c r="AD83" s="60">
        <f t="shared" si="25"/>
        <v>0.15541682923657174</v>
      </c>
      <c r="AE83" s="60">
        <f t="shared" si="25"/>
        <v>0.13856669795116072</v>
      </c>
      <c r="AF83" s="60">
        <f t="shared" si="25"/>
        <v>0.2144025792791493</v>
      </c>
      <c r="AG83" s="60">
        <f t="shared" si="25"/>
        <v>0.15145032942585779</v>
      </c>
      <c r="AH83" s="60">
        <f>SourcedData!AN50/6.5689</f>
        <v>0.1450775624533788</v>
      </c>
      <c r="AI83" s="60">
        <f>SourcedData!AO50/6.2836</f>
        <v>0.18557833089311859</v>
      </c>
      <c r="AJ83" s="60">
        <f>SourcedData!AP50/3826200</f>
        <v>0.21274371439025666</v>
      </c>
      <c r="AK83" s="60">
        <f>SourcedData!AQ50/3977200</f>
        <v>0.19000804586141004</v>
      </c>
      <c r="AL83" s="60">
        <f>SourcedData!AR50/4836100</f>
        <v>0.1792766898947499</v>
      </c>
      <c r="AM83" s="60">
        <f>SourcedData!AS50/4182400</f>
        <v>0.22982019892884467</v>
      </c>
      <c r="AN83" s="60">
        <f t="shared" ref="AN83:AT83" si="26">1-AN82</f>
        <v>0.23403995729754457</v>
      </c>
      <c r="AO83" s="60">
        <f t="shared" si="26"/>
        <v>0.21865525837094923</v>
      </c>
      <c r="AP83" s="60">
        <f t="shared" si="26"/>
        <v>0.1681473708755975</v>
      </c>
      <c r="AQ83" s="60">
        <f t="shared" si="26"/>
        <v>0.33157979003224991</v>
      </c>
      <c r="AR83" s="60">
        <f t="shared" si="26"/>
        <v>0.2126302551203737</v>
      </c>
      <c r="AS83" s="60">
        <f t="shared" si="26"/>
        <v>0.18888804090666256</v>
      </c>
      <c r="AT83" s="60">
        <f t="shared" si="26"/>
        <v>0.1720445718848681</v>
      </c>
      <c r="AU83" s="60">
        <f>SourcedData!BA50/4.6498</f>
        <v>0.21560067099660199</v>
      </c>
      <c r="AV83" s="60">
        <f>SourcedData!BB50/3533</f>
        <v>0.19558448910274553</v>
      </c>
      <c r="AW83" s="60">
        <f>SourcedData!BC50/3356</f>
        <v>0.29737783075089391</v>
      </c>
      <c r="AX83" s="60">
        <f>SourcedData!BD50/3356</f>
        <v>0.29737783075089391</v>
      </c>
      <c r="AY83" s="60">
        <f>SourcedData!BE50/4756</f>
        <v>0.20016820857863751</v>
      </c>
      <c r="AZ83" s="60">
        <f>SourcedData!BF50/4756</f>
        <v>0.20016820857863751</v>
      </c>
      <c r="BA83" s="60">
        <f>SourcedData!BG50/4756</f>
        <v>0.20016820857863751</v>
      </c>
      <c r="BB83" s="60">
        <f>SourcedData!BH50/4756</f>
        <v>0.20016820857863751</v>
      </c>
      <c r="BC83" s="60">
        <f>SourcedData!BI50/4756</f>
        <v>0.20016820857863751</v>
      </c>
      <c r="BD83" s="102"/>
      <c r="BE83" s="102"/>
      <c r="BF83" s="102"/>
      <c r="BG83" s="102"/>
      <c r="BI83" s="68"/>
      <c r="BJ83" s="68"/>
      <c r="BK83" s="68"/>
      <c r="BL83" s="68"/>
      <c r="BM83" s="68"/>
      <c r="BN83" s="68"/>
      <c r="BO83" s="68"/>
      <c r="BP83" s="68"/>
      <c r="BQ83" s="68"/>
      <c r="BR83" s="63"/>
      <c r="BS83" s="63"/>
      <c r="BT83" s="63"/>
      <c r="BU83" s="63"/>
      <c r="BV83" s="1"/>
      <c r="BW83" s="1"/>
      <c r="BX83" s="1"/>
      <c r="BY83" s="1"/>
      <c r="BZ83" s="1"/>
      <c r="CA83" s="1"/>
      <c r="CB83" s="1"/>
      <c r="CC83" s="1"/>
      <c r="CJ83" s="52">
        <f t="shared" ca="1" si="24"/>
        <v>0.13790786855503148</v>
      </c>
      <c r="CK83" s="52">
        <f t="shared" ca="1" si="24"/>
        <v>0.13886922490425632</v>
      </c>
      <c r="CL83" s="52">
        <f t="shared" ca="1" si="24"/>
        <v>0.17137308814052277</v>
      </c>
      <c r="CM83" s="52">
        <f t="shared" ca="1" si="24"/>
        <v>0.20217108590119079</v>
      </c>
      <c r="CN83" s="52">
        <f t="shared" ca="1" si="24"/>
        <v>0.23908923896766135</v>
      </c>
      <c r="CO83" s="52">
        <f t="shared" ca="1" si="24"/>
        <v>0.19540114194005789</v>
      </c>
      <c r="CP83" s="52">
        <f t="shared" si="24"/>
        <v>0.24660996659514578</v>
      </c>
      <c r="CQ83" s="52">
        <f t="shared" si="24"/>
        <v>0.20016820857863754</v>
      </c>
      <c r="CS83" t="s">
        <v>164</v>
      </c>
      <c r="CT83" s="1"/>
      <c r="CU83" s="4"/>
      <c r="CV83" s="1"/>
      <c r="CW83" s="1"/>
      <c r="CX83" s="17"/>
      <c r="CY83" s="1"/>
      <c r="CZ83" s="1"/>
      <c r="DA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4"/>
      <c r="DZ83" s="4"/>
      <c r="EA83" s="4"/>
      <c r="EB83" s="4"/>
      <c r="EC83" s="4"/>
      <c r="ED83" s="4"/>
      <c r="EE83" s="4"/>
      <c r="EF83" s="4"/>
      <c r="EG83" s="4" t="s">
        <v>160</v>
      </c>
      <c r="EH83" s="4" t="s">
        <v>160</v>
      </c>
      <c r="EI83" s="4" t="s">
        <v>160</v>
      </c>
      <c r="EJ83" s="4" t="s">
        <v>96</v>
      </c>
      <c r="EK83" s="4" t="s">
        <v>96</v>
      </c>
      <c r="EL83" s="4" t="s">
        <v>96</v>
      </c>
      <c r="EM83" s="4" t="s">
        <v>96</v>
      </c>
      <c r="EN83" s="4" t="s">
        <v>96</v>
      </c>
      <c r="EO83" s="4" t="s">
        <v>97</v>
      </c>
      <c r="EP83" s="4" t="s">
        <v>97</v>
      </c>
      <c r="EQ83" s="4" t="s">
        <v>97</v>
      </c>
      <c r="ER83" s="4" t="s">
        <v>97</v>
      </c>
      <c r="ES83" s="4" t="s">
        <v>113</v>
      </c>
      <c r="ET83" s="4" t="s">
        <v>113</v>
      </c>
      <c r="EU83" s="4" t="s">
        <v>113</v>
      </c>
      <c r="EV83" s="4" t="s">
        <v>113</v>
      </c>
      <c r="EW83" s="4" t="s">
        <v>114</v>
      </c>
      <c r="EX83" s="4" t="s">
        <v>114</v>
      </c>
      <c r="EY83" s="4" t="s">
        <v>114</v>
      </c>
      <c r="EZ83" s="4" t="s">
        <v>114</v>
      </c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</row>
    <row r="84" spans="1:169" x14ac:dyDescent="0.2">
      <c r="A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I84" s="68"/>
      <c r="BJ84" s="68"/>
      <c r="BK84" s="68"/>
      <c r="BL84" s="68"/>
      <c r="BM84" s="68"/>
      <c r="BN84" s="68"/>
      <c r="BO84" s="68"/>
      <c r="BP84" s="68"/>
      <c r="BQ84" s="68"/>
      <c r="BR84" s="67"/>
      <c r="BS84" s="67"/>
      <c r="BT84" s="63"/>
      <c r="BU84" s="63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24"/>
      <c r="CM84" s="24"/>
      <c r="CN84" s="24"/>
      <c r="CO84" s="2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</row>
    <row r="85" spans="1:169" x14ac:dyDescent="0.2">
      <c r="A85" s="1" t="s">
        <v>165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L85" s="16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24"/>
      <c r="CM85" s="24"/>
      <c r="CN85" s="24"/>
      <c r="CO85" s="2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</row>
    <row r="86" spans="1:169" x14ac:dyDescent="0.2">
      <c r="A86" t="s">
        <v>98</v>
      </c>
      <c r="B86" t="s">
        <v>85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59">
        <f t="shared" ref="X86:BG86" si="27">X69/X35</f>
        <v>1.3825490196078429</v>
      </c>
      <c r="Y86" s="59">
        <f t="shared" si="27"/>
        <v>1.5441176470588234</v>
      </c>
      <c r="Z86" s="59">
        <f t="shared" si="27"/>
        <v>1.314313725490196</v>
      </c>
      <c r="AA86" s="59">
        <f t="shared" si="27"/>
        <v>0.62686274509803919</v>
      </c>
      <c r="AB86" s="59">
        <f t="shared" si="27"/>
        <v>1.0480392156862743</v>
      </c>
      <c r="AC86" s="59">
        <f t="shared" si="27"/>
        <v>1.4001960784313725</v>
      </c>
      <c r="AD86" s="59">
        <f t="shared" si="27"/>
        <v>0.93862745098039213</v>
      </c>
      <c r="AE86" s="59">
        <f t="shared" si="27"/>
        <v>1.3060784313725491</v>
      </c>
      <c r="AF86" s="59">
        <f t="shared" si="27"/>
        <v>1.2417647058823529</v>
      </c>
      <c r="AG86" s="59">
        <f t="shared" si="27"/>
        <v>1.5176470588235293</v>
      </c>
      <c r="AH86" s="59">
        <f t="shared" si="27"/>
        <v>1.3788235294117648</v>
      </c>
      <c r="AI86" s="59">
        <f t="shared" si="27"/>
        <v>1.6519607843137256</v>
      </c>
      <c r="AJ86" s="59">
        <f t="shared" si="27"/>
        <v>1.4533333333333331</v>
      </c>
      <c r="AK86" s="59">
        <f t="shared" si="27"/>
        <v>1.2517647058823529</v>
      </c>
      <c r="AL86" s="59">
        <f t="shared" si="27"/>
        <v>1.1535294117647059</v>
      </c>
      <c r="AM86" s="59">
        <f t="shared" si="27"/>
        <v>0.90431372549019606</v>
      </c>
      <c r="AN86" s="59">
        <f t="shared" si="27"/>
        <v>1.1776470588235295</v>
      </c>
      <c r="AO86" s="59">
        <f t="shared" si="27"/>
        <v>1.1172549019607843</v>
      </c>
      <c r="AP86" s="59">
        <f t="shared" si="27"/>
        <v>1.2925490196078431</v>
      </c>
      <c r="AQ86" s="59">
        <f t="shared" si="27"/>
        <v>1.2825490196078431</v>
      </c>
      <c r="AR86" s="59">
        <f t="shared" si="27"/>
        <v>0.87235294117647055</v>
      </c>
      <c r="AS86" s="59">
        <f t="shared" si="27"/>
        <v>0.62235294117647055</v>
      </c>
      <c r="AT86" s="59">
        <f t="shared" si="27"/>
        <v>1.4535294117647057</v>
      </c>
      <c r="AU86" s="59">
        <f t="shared" si="27"/>
        <v>1.1445098039215686</v>
      </c>
      <c r="AV86" s="59">
        <f t="shared" si="27"/>
        <v>1.0196078431372548</v>
      </c>
      <c r="AW86" s="59">
        <f t="shared" si="27"/>
        <v>1.1294117647058823</v>
      </c>
      <c r="AX86" s="59">
        <f t="shared" si="27"/>
        <v>1.3490196078431371</v>
      </c>
      <c r="AY86" s="59">
        <f t="shared" si="27"/>
        <v>2.1921568627450982</v>
      </c>
      <c r="AZ86" s="59">
        <f t="shared" si="27"/>
        <v>0.95490196078431366</v>
      </c>
      <c r="BA86" s="59">
        <f t="shared" si="27"/>
        <v>1.2686274509803921</v>
      </c>
      <c r="BB86" s="59">
        <f t="shared" si="27"/>
        <v>1.8196078431372549</v>
      </c>
      <c r="BC86" s="59">
        <f t="shared" si="27"/>
        <v>1.6568627450980391</v>
      </c>
      <c r="BD86" s="59">
        <f t="shared" si="27"/>
        <v>1.2176470588235293</v>
      </c>
      <c r="BE86" s="59">
        <f t="shared" si="27"/>
        <v>1.2313725490196079</v>
      </c>
      <c r="BF86" s="59">
        <f t="shared" si="27"/>
        <v>1.4450980392156862</v>
      </c>
      <c r="BG86" s="59">
        <f t="shared" si="27"/>
        <v>1.0843137254901962</v>
      </c>
      <c r="BI86" s="68"/>
      <c r="BJ86" s="68">
        <f>SourcedData!BO51</f>
        <v>5.0215069999999997</v>
      </c>
      <c r="BK86" s="68">
        <f>SourcedData!BP51</f>
        <v>5.1060150000000002</v>
      </c>
      <c r="BL86" s="68"/>
      <c r="BM86" s="68">
        <f>SourcedData!BR51</f>
        <v>5.4267640000000004</v>
      </c>
      <c r="BN86" s="68">
        <f>SourcedData!BS51</f>
        <v>5.9278680000000001</v>
      </c>
      <c r="BO86" s="63">
        <f>SourcedData!BT51</f>
        <v>4.4161970000000004</v>
      </c>
      <c r="BP86" s="63">
        <f>SourcedData!BU51</f>
        <v>4.9825100000000004</v>
      </c>
      <c r="BQ86" s="63">
        <f>SourcedData!BV51</f>
        <v>5.7358779999999996</v>
      </c>
      <c r="BR86" s="63">
        <f>SourcedData!BW51</f>
        <v>4.352722</v>
      </c>
      <c r="BS86" s="63">
        <f>SourcedData!BX51</f>
        <v>2.78714</v>
      </c>
      <c r="BT86" s="63">
        <f>SourcedData!BY51</f>
        <v>4.7474689999999997</v>
      </c>
      <c r="BU86" s="63">
        <f>SourcedData!BZ51</f>
        <v>4.6390969999999996</v>
      </c>
      <c r="BV86" s="63">
        <f>SourcedData!CA51</f>
        <v>5.9255089999999999</v>
      </c>
      <c r="BW86" s="63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59">
        <f t="shared" ref="CJ86:CO87" ca="1" si="28">SUMIF($D$7:$BH$7,CJ$8,$D86:$AV86)</f>
        <v>4.8678431372549014</v>
      </c>
      <c r="CK86" s="59">
        <f t="shared" ca="1" si="28"/>
        <v>4.6929411764705886</v>
      </c>
      <c r="CL86" s="59">
        <f t="shared" ca="1" si="28"/>
        <v>5.7901960784313733</v>
      </c>
      <c r="CM86" s="59">
        <f t="shared" ca="1" si="28"/>
        <v>4.762941176470588</v>
      </c>
      <c r="CN86" s="59">
        <f t="shared" ca="1" si="28"/>
        <v>4.87</v>
      </c>
      <c r="CO86" s="59">
        <f t="shared" ca="1" si="28"/>
        <v>4.0927450980392157</v>
      </c>
      <c r="CP86" s="59">
        <f>SUMIF($D$7:$BH$7,CP$8,$D86:$BH86)</f>
        <v>5.6901960784313728</v>
      </c>
      <c r="CQ86" s="59">
        <f>SUMIF($D$7:$BH$7,CQ$8,$D86:$BH86)</f>
        <v>5.6999999999999993</v>
      </c>
      <c r="CR86" s="58"/>
      <c r="CS86" t="s">
        <v>166</v>
      </c>
      <c r="CX86" s="4" t="s">
        <v>137</v>
      </c>
      <c r="CY86" s="4" t="s">
        <v>137</v>
      </c>
      <c r="CZ86" s="16"/>
      <c r="DA86" s="4" t="s">
        <v>138</v>
      </c>
      <c r="DB86" s="4" t="s">
        <v>138</v>
      </c>
      <c r="DC86" s="4" t="s">
        <v>140</v>
      </c>
      <c r="DD86" s="4" t="s">
        <v>140</v>
      </c>
      <c r="DE86" s="4" t="s">
        <v>140</v>
      </c>
      <c r="DF86" s="4" t="s">
        <v>140</v>
      </c>
      <c r="DG86" s="4" t="s">
        <v>140</v>
      </c>
      <c r="DH86" s="4" t="s">
        <v>141</v>
      </c>
      <c r="DI86" s="4" t="s">
        <v>142</v>
      </c>
      <c r="DJ86" s="4" t="s">
        <v>143</v>
      </c>
      <c r="DK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</row>
    <row r="87" spans="1:169" x14ac:dyDescent="0.2">
      <c r="A87" t="s">
        <v>104</v>
      </c>
      <c r="B87" t="s">
        <v>85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59">
        <f t="shared" ref="X87:BC87" si="29">X70/X43</f>
        <v>1.6092045454545454</v>
      </c>
      <c r="Y87" s="59">
        <f t="shared" si="29"/>
        <v>0.78249999999999997</v>
      </c>
      <c r="Z87" s="59">
        <f t="shared" si="29"/>
        <v>1.4963636363636363</v>
      </c>
      <c r="AA87" s="59">
        <f t="shared" si="29"/>
        <v>2.2497727272727275</v>
      </c>
      <c r="AB87" s="59">
        <f t="shared" si="29"/>
        <v>2.2007954545454544</v>
      </c>
      <c r="AC87" s="59">
        <f t="shared" si="29"/>
        <v>1.2094318181818182</v>
      </c>
      <c r="AD87" s="59">
        <f t="shared" si="29"/>
        <v>1.4497727272727272</v>
      </c>
      <c r="AE87" s="59">
        <f t="shared" si="29"/>
        <v>2.8240909090909088</v>
      </c>
      <c r="AF87" s="59">
        <f t="shared" si="29"/>
        <v>0.27215909090909091</v>
      </c>
      <c r="AG87" s="59">
        <f t="shared" si="29"/>
        <v>1.8218181818181818</v>
      </c>
      <c r="AH87" s="59">
        <f t="shared" si="29"/>
        <v>2.2421590909090909</v>
      </c>
      <c r="AI87" s="59">
        <f t="shared" si="29"/>
        <v>2.6506818181818179</v>
      </c>
      <c r="AJ87" s="59">
        <f t="shared" si="29"/>
        <v>0.51227272727272721</v>
      </c>
      <c r="AK87" s="59">
        <f t="shared" si="29"/>
        <v>0.86568181818181822</v>
      </c>
      <c r="AL87" s="59">
        <f t="shared" si="29"/>
        <v>2.2823863636363639</v>
      </c>
      <c r="AM87" s="59">
        <f t="shared" si="29"/>
        <v>1.3740909090909093</v>
      </c>
      <c r="AN87" s="59">
        <f t="shared" si="29"/>
        <v>0.67624999999999991</v>
      </c>
      <c r="AO87" s="59">
        <f t="shared" si="29"/>
        <v>6.4318181818181816E-2</v>
      </c>
      <c r="AP87" s="59">
        <f t="shared" si="29"/>
        <v>1.4939772727272727</v>
      </c>
      <c r="AQ87" s="59">
        <f t="shared" si="29"/>
        <v>1.2321590909090909</v>
      </c>
      <c r="AR87" s="59">
        <f t="shared" si="29"/>
        <v>0.19636363636363638</v>
      </c>
      <c r="AS87" s="59">
        <f t="shared" si="29"/>
        <v>0.23829545454545453</v>
      </c>
      <c r="AT87" s="59">
        <f t="shared" si="29"/>
        <v>1.7305681818181817</v>
      </c>
      <c r="AU87" s="59">
        <f t="shared" si="29"/>
        <v>1.6920454545454546</v>
      </c>
      <c r="AV87" s="59">
        <f t="shared" si="29"/>
        <v>0.65454545454545454</v>
      </c>
      <c r="AW87" s="59">
        <f t="shared" si="29"/>
        <v>1.0772727272727272</v>
      </c>
      <c r="AX87" s="59">
        <f t="shared" si="29"/>
        <v>1.075</v>
      </c>
      <c r="AY87" s="59">
        <f t="shared" si="29"/>
        <v>0.75227272727272732</v>
      </c>
      <c r="AZ87" s="59">
        <f t="shared" si="29"/>
        <v>0.63750000000000007</v>
      </c>
      <c r="BA87" s="59">
        <f t="shared" si="29"/>
        <v>1.0488636363636363</v>
      </c>
      <c r="BB87" s="59">
        <f t="shared" si="29"/>
        <v>1.2693181818181818</v>
      </c>
      <c r="BC87" s="59">
        <f t="shared" si="29"/>
        <v>0.19999999999999998</v>
      </c>
      <c r="BD87" s="59"/>
      <c r="BE87" s="59"/>
      <c r="BF87" s="59"/>
      <c r="BG87" s="59"/>
      <c r="BI87" s="68"/>
      <c r="BJ87" s="68">
        <f>SourcedData!BO52</f>
        <v>5.1290329999999997</v>
      </c>
      <c r="BK87" s="68">
        <f>SourcedData!BP52</f>
        <v>5.1069240000000002</v>
      </c>
      <c r="BL87" s="68">
        <f>SourcedData!BQ52</f>
        <v>5.4186880000000004</v>
      </c>
      <c r="BM87" s="68">
        <f>SourcedData!BR52</f>
        <v>4.6704189999999999</v>
      </c>
      <c r="BN87" s="68">
        <f>SourcedData!BS52</f>
        <v>6.0571789999999996</v>
      </c>
      <c r="BO87" s="63">
        <f>SourcedData!BT52</f>
        <v>7.1563049999999997</v>
      </c>
      <c r="BP87" s="63">
        <f>SourcedData!BU52</f>
        <v>6.3678549999999996</v>
      </c>
      <c r="BQ87" s="63">
        <f>SourcedData!BV52</f>
        <v>6.270721</v>
      </c>
      <c r="BR87" s="63">
        <f>SourcedData!BW52</f>
        <v>4.3957110000000004</v>
      </c>
      <c r="BS87" s="63">
        <f>SourcedData!BX52</f>
        <v>3.3306140000000002</v>
      </c>
      <c r="BT87" s="63">
        <f>SourcedData!BY52/10^6</f>
        <v>4.984756</v>
      </c>
      <c r="BU87" s="63">
        <f>SourcedData!BZ52</f>
        <v>3.5134569999999998</v>
      </c>
      <c r="BV87" s="63">
        <f>SourcedData!CA52</f>
        <v>2.2298089999999999</v>
      </c>
      <c r="BW87" s="63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59">
        <f t="shared" ca="1" si="28"/>
        <v>6.137840909090909</v>
      </c>
      <c r="CK87" s="59">
        <f t="shared" ca="1" si="28"/>
        <v>7.6840909090909086</v>
      </c>
      <c r="CL87" s="59">
        <f t="shared" ca="1" si="28"/>
        <v>6.9868181818181814</v>
      </c>
      <c r="CM87" s="59">
        <f t="shared" ca="1" si="28"/>
        <v>5.0344318181818188</v>
      </c>
      <c r="CN87" s="59">
        <f t="shared" ca="1" si="28"/>
        <v>3.4667045454545455</v>
      </c>
      <c r="CO87" s="59">
        <f t="shared" ca="1" si="28"/>
        <v>3.8572727272727274</v>
      </c>
      <c r="CP87" s="59">
        <f>SUMIF($D$7:$BH$7,CP$8,$D87:$BH87)</f>
        <v>3.5590909090909091</v>
      </c>
      <c r="CQ87" s="59">
        <f>SUMIF($D$7:$BH$7,CQ$8,$D87:$BH87)</f>
        <v>3.1556818181818187</v>
      </c>
      <c r="CR87" s="58"/>
      <c r="CS87" t="s">
        <v>167</v>
      </c>
      <c r="CX87" s="4" t="s">
        <v>137</v>
      </c>
      <c r="CY87" s="4" t="s">
        <v>137</v>
      </c>
      <c r="CZ87" s="4" t="s">
        <v>152</v>
      </c>
      <c r="DA87" s="4" t="s">
        <v>138</v>
      </c>
      <c r="DB87" s="4" t="s">
        <v>138</v>
      </c>
      <c r="DC87" s="4" t="s">
        <v>140</v>
      </c>
      <c r="DD87" s="4" t="s">
        <v>140</v>
      </c>
      <c r="DE87" s="4" t="s">
        <v>140</v>
      </c>
      <c r="DF87" s="4" t="s">
        <v>140</v>
      </c>
      <c r="DG87" s="4" t="s">
        <v>140</v>
      </c>
      <c r="DH87" s="4" t="s">
        <v>141</v>
      </c>
      <c r="DI87" s="4" t="s">
        <v>142</v>
      </c>
      <c r="DJ87" s="4" t="s">
        <v>143</v>
      </c>
      <c r="DK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</row>
    <row r="88" spans="1:169" x14ac:dyDescent="0.2">
      <c r="A88" t="s">
        <v>101</v>
      </c>
      <c r="B88" t="s">
        <v>85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I88" s="68"/>
      <c r="BJ88" s="68">
        <f>SourcedData!BO53</f>
        <v>2.7784390000000001</v>
      </c>
      <c r="BK88" s="68">
        <f>SourcedData!BP53</f>
        <v>2.6616710000000001</v>
      </c>
      <c r="BL88" s="68">
        <f>SourcedData!BQ53</f>
        <v>3.0979260000000002</v>
      </c>
      <c r="BM88" s="68">
        <f>SourcedData!BR53</f>
        <v>2.6737609999999998</v>
      </c>
      <c r="BN88" s="68">
        <f>SourcedData!BS53</f>
        <v>3.0527669999999998</v>
      </c>
      <c r="BO88" s="63"/>
      <c r="BP88" s="63"/>
      <c r="BQ88" s="63"/>
      <c r="BR88" s="63"/>
      <c r="BS88" s="63"/>
      <c r="BT88" s="63"/>
      <c r="BU88" s="63"/>
      <c r="BV88" s="63"/>
      <c r="BW88" s="63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24"/>
      <c r="CM88" s="24"/>
      <c r="CN88" s="24"/>
      <c r="CO88" s="24"/>
      <c r="CS88" t="s">
        <v>168</v>
      </c>
      <c r="CX88" s="4" t="s">
        <v>137</v>
      </c>
      <c r="CY88" s="4" t="s">
        <v>137</v>
      </c>
      <c r="CZ88" s="4" t="s">
        <v>152</v>
      </c>
      <c r="DA88" s="4" t="s">
        <v>138</v>
      </c>
      <c r="DB88" s="4" t="s">
        <v>138</v>
      </c>
      <c r="DC88" s="4"/>
      <c r="DD88" s="4"/>
      <c r="DE88" s="4"/>
      <c r="DF88" s="4"/>
      <c r="DG88" s="4"/>
      <c r="DH88" s="4"/>
      <c r="DI88" s="4"/>
      <c r="DJ88" s="4"/>
      <c r="DK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</row>
    <row r="89" spans="1:169" x14ac:dyDescent="0.2">
      <c r="A89" t="s">
        <v>145</v>
      </c>
      <c r="B89" t="s">
        <v>85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I89" s="63"/>
      <c r="BJ89" s="68">
        <f>SourcedData!BO54</f>
        <v>1.2945960000000001</v>
      </c>
      <c r="BK89" s="68">
        <f>SourcedData!BP54</f>
        <v>0.73718600000000001</v>
      </c>
      <c r="BL89" s="68"/>
      <c r="BM89" s="68"/>
      <c r="BN89" s="68"/>
      <c r="BO89" s="63"/>
      <c r="BP89" s="63"/>
      <c r="BQ89" s="63"/>
      <c r="BR89" s="63"/>
      <c r="BS89" s="63"/>
      <c r="BT89" s="63"/>
      <c r="BU89" s="63"/>
      <c r="BV89" s="63"/>
      <c r="BW89" s="63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24"/>
      <c r="CM89" s="24"/>
      <c r="CN89" s="24"/>
      <c r="CO89" s="24"/>
      <c r="CS89" t="s">
        <v>169</v>
      </c>
      <c r="CX89" s="4" t="s">
        <v>137</v>
      </c>
      <c r="CY89" s="4" t="s">
        <v>137</v>
      </c>
      <c r="CZ89" s="16"/>
      <c r="DA89" s="16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</row>
    <row r="90" spans="1:169" x14ac:dyDescent="0.2">
      <c r="A90" s="11" t="s">
        <v>146</v>
      </c>
      <c r="B90" s="11" t="s">
        <v>85</v>
      </c>
      <c r="C90" s="16"/>
      <c r="D90" s="11"/>
      <c r="E90" s="11"/>
      <c r="F90" s="11"/>
      <c r="G90" s="11"/>
      <c r="H90" s="11"/>
      <c r="I90" s="25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I90" s="68"/>
      <c r="BJ90" s="68">
        <f>SourcedData!BO55</f>
        <v>4.0734450000000004</v>
      </c>
      <c r="BK90" s="68">
        <f>SourcedData!BP55</f>
        <v>4.345351</v>
      </c>
      <c r="BL90" s="68"/>
      <c r="BM90" s="68">
        <f>SourcedData!BR55</f>
        <v>3.8111090000000001</v>
      </c>
      <c r="BN90" s="68">
        <f>SourcedData!BS55</f>
        <v>2.7642039999999999</v>
      </c>
      <c r="BO90" s="63">
        <f>SourcedData!BT55</f>
        <v>2.7149930000000002</v>
      </c>
      <c r="BP90" s="63">
        <f>SourcedData!BU55</f>
        <v>3.1103679999999998</v>
      </c>
      <c r="BQ90" s="63">
        <f>SourcedData!BV55</f>
        <v>3.584946</v>
      </c>
      <c r="BR90" s="63">
        <f>SourcedData!BW55</f>
        <v>2.2285840000000001</v>
      </c>
      <c r="BS90" s="63">
        <f>SourcedData!BX55</f>
        <v>2.2403189999999999</v>
      </c>
      <c r="BT90" s="63">
        <f>SourcedData!BY55</f>
        <v>2.8853360000000001</v>
      </c>
      <c r="BU90" s="63">
        <f>SourcedData!BZ55</f>
        <v>2.695074</v>
      </c>
      <c r="BV90" s="63">
        <f>SourcedData!CA55</f>
        <v>3.2054909999999999</v>
      </c>
      <c r="BW90" s="63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29"/>
      <c r="CL90" s="24"/>
      <c r="CM90" s="24"/>
      <c r="CN90" s="24"/>
      <c r="CO90" s="24"/>
      <c r="CS90" t="s">
        <v>170</v>
      </c>
      <c r="CX90" s="4" t="s">
        <v>137</v>
      </c>
      <c r="CY90" s="4" t="s">
        <v>137</v>
      </c>
      <c r="CZ90" s="16"/>
      <c r="DA90" s="4" t="s">
        <v>138</v>
      </c>
      <c r="DB90" s="4" t="s">
        <v>138</v>
      </c>
      <c r="DC90" s="4" t="s">
        <v>140</v>
      </c>
      <c r="DD90" s="4" t="s">
        <v>140</v>
      </c>
      <c r="DE90" s="4" t="s">
        <v>140</v>
      </c>
      <c r="DF90" s="4" t="s">
        <v>140</v>
      </c>
      <c r="DG90" s="4" t="s">
        <v>140</v>
      </c>
      <c r="DH90" s="4" t="s">
        <v>141</v>
      </c>
      <c r="DI90" s="4" t="s">
        <v>142</v>
      </c>
      <c r="DJ90" s="4" t="s">
        <v>143</v>
      </c>
      <c r="DK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</row>
    <row r="91" spans="1:169" x14ac:dyDescent="0.2">
      <c r="A91" s="11" t="s">
        <v>147</v>
      </c>
      <c r="B91" s="11" t="s">
        <v>85</v>
      </c>
      <c r="C91" s="16"/>
      <c r="D91" s="11"/>
      <c r="E91" s="11"/>
      <c r="F91" s="11"/>
      <c r="G91" s="11"/>
      <c r="H91" s="11"/>
      <c r="I91" s="25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I91" s="68"/>
      <c r="BJ91" s="68">
        <f>SourcedData!BO56</f>
        <v>0.28602100000000003</v>
      </c>
      <c r="BK91" s="68">
        <f>SourcedData!BP56</f>
        <v>0.16414999999999999</v>
      </c>
      <c r="BL91" s="68"/>
      <c r="BM91" s="68"/>
      <c r="BN91" s="68"/>
      <c r="BO91" s="63"/>
      <c r="BP91" s="63"/>
      <c r="BQ91" s="63"/>
      <c r="BR91" s="67"/>
      <c r="BS91" s="67"/>
      <c r="BT91" s="63">
        <f>SourcedData!BY56/10^6</f>
        <v>2.4461309999999998</v>
      </c>
      <c r="BU91" s="63">
        <f>SourcedData!BZ56</f>
        <v>3.1947899999999998</v>
      </c>
      <c r="BV91" s="63">
        <f>SourcedData!CA56</f>
        <v>3.2814899999999998</v>
      </c>
      <c r="BW91" s="63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S91" t="s">
        <v>171</v>
      </c>
      <c r="CX91" s="4" t="s">
        <v>137</v>
      </c>
      <c r="CY91" s="4" t="s">
        <v>137</v>
      </c>
      <c r="CZ91" s="16"/>
      <c r="DA91" s="16"/>
      <c r="DH91" s="4" t="s">
        <v>141</v>
      </c>
      <c r="DI91" s="4" t="s">
        <v>142</v>
      </c>
      <c r="DJ91" s="4" t="s">
        <v>143</v>
      </c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</row>
    <row r="92" spans="1:169" ht="14.25" customHeight="1" x14ac:dyDescent="0.2">
      <c r="A92" s="11" t="s">
        <v>148</v>
      </c>
      <c r="B92" s="11" t="s">
        <v>85</v>
      </c>
      <c r="C92" s="16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I92" s="68"/>
      <c r="BJ92" s="68">
        <f>SourcedData!BO57</f>
        <v>2.5851359999999999</v>
      </c>
      <c r="BK92" s="68">
        <f>SourcedData!BP57</f>
        <v>4.6387790000000004</v>
      </c>
      <c r="BL92" s="68">
        <f>SourcedData!BQ57</f>
        <v>6.2819130000000003</v>
      </c>
      <c r="BM92" s="68">
        <f>SourcedData!BR57</f>
        <v>7.9008089999999997</v>
      </c>
      <c r="BN92" s="68">
        <f>SourcedData!BS57</f>
        <v>5.6866539999999999</v>
      </c>
      <c r="BO92" s="63">
        <f>SourcedData!BT57</f>
        <v>5.9091680000000002</v>
      </c>
      <c r="BP92" s="63">
        <f>SourcedData!BU57</f>
        <v>5.2824239999999998</v>
      </c>
      <c r="BQ92" s="63">
        <f>SourcedData!BV57</f>
        <v>4.2996480000000004</v>
      </c>
      <c r="BR92" s="63">
        <f>SourcedData!BW57</f>
        <v>5.2791689999999996</v>
      </c>
      <c r="BS92" s="63">
        <f>SourcedData!BX57</f>
        <v>4.0353870000000001</v>
      </c>
      <c r="BV92" s="63"/>
      <c r="BW92" s="63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24"/>
      <c r="CM92" s="24"/>
      <c r="CN92" s="24"/>
      <c r="CO92" s="24"/>
      <c r="CS92" t="s">
        <v>168</v>
      </c>
      <c r="CX92" s="4" t="s">
        <v>137</v>
      </c>
      <c r="CY92" s="4" t="s">
        <v>137</v>
      </c>
      <c r="CZ92" s="4" t="s">
        <v>152</v>
      </c>
      <c r="DA92" s="4" t="s">
        <v>138</v>
      </c>
      <c r="DB92" s="4" t="s">
        <v>138</v>
      </c>
      <c r="DC92" s="4" t="s">
        <v>140</v>
      </c>
      <c r="DD92" s="4" t="s">
        <v>140</v>
      </c>
      <c r="DE92" s="4" t="s">
        <v>140</v>
      </c>
      <c r="DF92" s="4" t="s">
        <v>140</v>
      </c>
      <c r="DG92" s="4" t="s">
        <v>140</v>
      </c>
      <c r="DH92" s="4" t="s">
        <v>141</v>
      </c>
      <c r="DI92" s="4" t="s">
        <v>142</v>
      </c>
      <c r="DJ92" s="4" t="s">
        <v>143</v>
      </c>
      <c r="DK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</row>
    <row r="93" spans="1:169" ht="14.25" customHeight="1" x14ac:dyDescent="0.2">
      <c r="A93" t="s">
        <v>93</v>
      </c>
      <c r="B93" t="s">
        <v>85</v>
      </c>
      <c r="C93" s="16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65">
        <f>X76/(X38*$CJ$129+$CJ$128*X41)</f>
        <v>2.3311901614756438</v>
      </c>
      <c r="Y93" s="65">
        <f>Y76/(Y38*$CJ$129+$CJ$128*Y41)</f>
        <v>2.009863950029001</v>
      </c>
      <c r="Z93" s="65">
        <f>Z76/(Z38*$CJ$129+$CJ$128*Z41)</f>
        <v>2.3450238986265863</v>
      </c>
      <c r="AA93" s="65">
        <f>AA76/(AA38*$CJ$129+$CJ$128*AA41)</f>
        <v>2.1981945300542072</v>
      </c>
      <c r="AB93" s="65">
        <f>AB76/(AB38*$CK$129+$CK$128*AB41)</f>
        <v>1.9138672893153164</v>
      </c>
      <c r="AC93" s="65">
        <f>AC76/(AC38*$CK$129+$CK$128*AC41)</f>
        <v>1.8154319946356319</v>
      </c>
      <c r="AD93" s="65">
        <f>AD76/(AD38*$CK$129+$CK$128*AD41)</f>
        <v>2.1451491028593668</v>
      </c>
      <c r="AE93" s="65">
        <f>AE76/(AE38*$CK$129+$CK$128*AE41)</f>
        <v>1.8614964222294674</v>
      </c>
      <c r="AF93" s="65">
        <f>AF76/(AF38*$CL$129+$CL$128*AF41)</f>
        <v>1.6478972697563241</v>
      </c>
      <c r="AG93" s="65">
        <f>AG76/(AG38*$CL$129+$CL$128*AG41)</f>
        <v>2.3611804238458074</v>
      </c>
      <c r="AH93" s="65">
        <f>AH76/(AH38*$CL$129+$CL$128*AH41)</f>
        <v>2.3208520216442894</v>
      </c>
      <c r="AI93" s="65">
        <f>AI76/(AI38*$CL$129+$CL$128*AI41)</f>
        <v>1.724887855777405</v>
      </c>
      <c r="AJ93" s="65">
        <f>AJ76/(AJ38*$CM$129+$CM$128*AJ41)</f>
        <v>1.879364222123034</v>
      </c>
      <c r="AK93" s="65">
        <f>AK76/(AK38*$CM$129+$CM$128*AK41)</f>
        <v>1.6600846837360914</v>
      </c>
      <c r="AL93" s="65">
        <f>AL76/(AL38*$CM$129+$CM$128*AL41)</f>
        <v>1.8053200161621394</v>
      </c>
      <c r="AM93" s="65">
        <f>AM76/(AM38*$CM$129+$CM$128*AM41)</f>
        <v>2.2836863449480287</v>
      </c>
      <c r="AN93" s="65">
        <f>AN76/(AN38*$CN$129+$CN$128*AN41)</f>
        <v>1.8353138252007446</v>
      </c>
      <c r="AO93" s="65">
        <f>AO76/(AO38*$CN$129+$CN$128*AO41)</f>
        <v>2.1181206117217268</v>
      </c>
      <c r="AP93" s="65">
        <f>AP76/(AP38*$CN$129+$CN$128*AP41)</f>
        <v>2.0491566435387787</v>
      </c>
      <c r="AQ93" s="65">
        <f>AQ76/(AQ38*$CN$129+$CN$128*AQ41)</f>
        <v>2.1652777915464303</v>
      </c>
      <c r="AR93" s="85">
        <f t="shared" ref="AR93:BG93" si="30">AR76/(AR33*$CN$129+$CN$128*AR41)</f>
        <v>1.0172866769121014</v>
      </c>
      <c r="AS93" s="85">
        <f t="shared" si="30"/>
        <v>0.71839738397691399</v>
      </c>
      <c r="AT93" s="85">
        <f t="shared" si="30"/>
        <v>1.5665451586853822</v>
      </c>
      <c r="AU93" s="85">
        <f t="shared" si="30"/>
        <v>1.3942715306552513</v>
      </c>
      <c r="AV93" s="85">
        <f t="shared" si="30"/>
        <v>1.0153785829307549</v>
      </c>
      <c r="AW93" s="85">
        <f t="shared" si="30"/>
        <v>1.1911958140691004</v>
      </c>
      <c r="AX93" s="85">
        <f t="shared" si="30"/>
        <v>1.8235926764581882</v>
      </c>
      <c r="AY93" s="85">
        <f t="shared" si="30"/>
        <v>1.6096135656929149</v>
      </c>
      <c r="AZ93" s="85">
        <f t="shared" si="30"/>
        <v>1.3315770141252987</v>
      </c>
      <c r="BA93" s="85">
        <f t="shared" si="30"/>
        <v>0.85319059451631218</v>
      </c>
      <c r="BB93" s="85">
        <f t="shared" si="30"/>
        <v>1.4556031229128139</v>
      </c>
      <c r="BC93" s="85">
        <f t="shared" si="30"/>
        <v>1.4937650025397418</v>
      </c>
      <c r="BD93" s="85">
        <f t="shared" si="30"/>
        <v>1.4801357598158389</v>
      </c>
      <c r="BE93" s="85">
        <f t="shared" si="30"/>
        <v>1.7608981599282356</v>
      </c>
      <c r="BF93" s="85">
        <f t="shared" si="30"/>
        <v>1.3220365442185669</v>
      </c>
      <c r="BG93" s="85">
        <f t="shared" si="30"/>
        <v>1.8235926764581882</v>
      </c>
      <c r="BH93" s="11" t="s">
        <v>172</v>
      </c>
      <c r="BI93" s="68" t="s">
        <v>173</v>
      </c>
      <c r="BJ93" s="68"/>
      <c r="BK93" s="68"/>
      <c r="BL93" s="68"/>
      <c r="BM93" s="68"/>
      <c r="BN93" s="68"/>
      <c r="BO93" s="63"/>
      <c r="BP93" s="67"/>
      <c r="BQ93" s="67"/>
      <c r="BR93" s="67"/>
      <c r="BS93" s="67"/>
      <c r="BT93" s="63"/>
      <c r="BU93" s="63"/>
      <c r="BV93" s="63"/>
      <c r="BW93" s="63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59">
        <f t="shared" ref="CJ93:CQ94" si="31">SUMIF($D$7:$BH$7,CJ$8,$D93:$BH93)</f>
        <v>8.8842725401854388</v>
      </c>
      <c r="CK93" s="59">
        <f t="shared" si="31"/>
        <v>7.7359448090397818</v>
      </c>
      <c r="CL93" s="59">
        <f t="shared" si="31"/>
        <v>8.0548175710238255</v>
      </c>
      <c r="CM93" s="59">
        <f t="shared" si="31"/>
        <v>7.6284552669692935</v>
      </c>
      <c r="CN93" s="59">
        <f t="shared" si="31"/>
        <v>8.1678688720076806</v>
      </c>
      <c r="CO93" s="59">
        <f t="shared" si="31"/>
        <v>4.6965007502296485</v>
      </c>
      <c r="CP93" s="59">
        <f t="shared" si="31"/>
        <v>5.6397806391509588</v>
      </c>
      <c r="CQ93" s="59">
        <f t="shared" si="31"/>
        <v>5.1341357340941665</v>
      </c>
      <c r="CR93" s="58"/>
      <c r="CS93" t="s">
        <v>174</v>
      </c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</row>
    <row r="94" spans="1:169" x14ac:dyDescent="0.2">
      <c r="A94" t="s">
        <v>105</v>
      </c>
      <c r="B94" t="s">
        <v>85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65">
        <f t="shared" ref="X94:BC94" si="32">X77/X39</f>
        <v>0.70979999999999999</v>
      </c>
      <c r="Y94" s="65">
        <f t="shared" si="32"/>
        <v>0.18360000000000001</v>
      </c>
      <c r="Z94" s="65">
        <f t="shared" si="32"/>
        <v>1.0125</v>
      </c>
      <c r="AA94" s="65">
        <f t="shared" si="32"/>
        <v>0.1613</v>
      </c>
      <c r="AB94" s="65">
        <f t="shared" si="32"/>
        <v>0.8256</v>
      </c>
      <c r="AC94" s="65">
        <f t="shared" si="32"/>
        <v>1.3420000000000001</v>
      </c>
      <c r="AD94" s="65">
        <f t="shared" si="32"/>
        <v>1.2398</v>
      </c>
      <c r="AE94" s="65">
        <f t="shared" si="32"/>
        <v>0.35610000000000003</v>
      </c>
      <c r="AF94" s="65">
        <f t="shared" si="32"/>
        <v>1.3331999999999999</v>
      </c>
      <c r="AG94" s="65">
        <f t="shared" si="32"/>
        <v>1.0325</v>
      </c>
      <c r="AH94" s="65">
        <f t="shared" si="32"/>
        <v>1.3445</v>
      </c>
      <c r="AI94" s="65">
        <f t="shared" si="32"/>
        <v>1.0117</v>
      </c>
      <c r="AJ94" s="65">
        <f t="shared" si="32"/>
        <v>0.54090000000000005</v>
      </c>
      <c r="AK94" s="65">
        <f t="shared" si="32"/>
        <v>0.56089999999999995</v>
      </c>
      <c r="AL94" s="65">
        <f t="shared" si="32"/>
        <v>4.4999999999999997E-3</v>
      </c>
      <c r="AM94" s="65">
        <f t="shared" si="32"/>
        <v>0</v>
      </c>
      <c r="AN94" s="65">
        <f t="shared" si="32"/>
        <v>0</v>
      </c>
      <c r="AO94" s="65">
        <f t="shared" si="32"/>
        <v>0</v>
      </c>
      <c r="AP94" s="65">
        <f t="shared" si="32"/>
        <v>2.215909090909091E-2</v>
      </c>
      <c r="AQ94" s="65">
        <f t="shared" si="32"/>
        <v>5.9204545454545454E-2</v>
      </c>
      <c r="AR94" s="65">
        <f t="shared" si="32"/>
        <v>0.14227272727272727</v>
      </c>
      <c r="AS94" s="65">
        <f t="shared" si="32"/>
        <v>0.97306818181818178</v>
      </c>
      <c r="AT94" s="65">
        <f t="shared" si="32"/>
        <v>1.4515909090909092</v>
      </c>
      <c r="AU94" s="65">
        <f t="shared" si="32"/>
        <v>0.88363636363636355</v>
      </c>
      <c r="AV94" s="65">
        <f t="shared" si="32"/>
        <v>1.1090909090909091</v>
      </c>
      <c r="AW94" s="65">
        <f t="shared" si="32"/>
        <v>0.27272727272727271</v>
      </c>
      <c r="AX94" s="65">
        <f t="shared" si="32"/>
        <v>0.63636363636363646</v>
      </c>
      <c r="AY94" s="65">
        <f t="shared" si="32"/>
        <v>1.1602272727272727</v>
      </c>
      <c r="AZ94" s="65">
        <f t="shared" si="32"/>
        <v>1.0988636363636364</v>
      </c>
      <c r="BA94" s="65">
        <f t="shared" si="32"/>
        <v>1.3806818181818183</v>
      </c>
      <c r="BB94" s="65">
        <f t="shared" si="32"/>
        <v>0.21704545454545454</v>
      </c>
      <c r="BC94" s="65">
        <f t="shared" si="32"/>
        <v>0</v>
      </c>
      <c r="BD94" s="103"/>
      <c r="BE94" s="103"/>
      <c r="BF94" s="103"/>
      <c r="BG94" s="103"/>
      <c r="BH94" s="11"/>
      <c r="BI94" s="68"/>
      <c r="BJ94" s="68"/>
      <c r="BK94" s="68"/>
      <c r="BL94" s="68">
        <f>SourcedData!BQ58</f>
        <v>0.121818</v>
      </c>
      <c r="BM94" s="68">
        <f>SourcedData!BR58</f>
        <v>0.86056100000000002</v>
      </c>
      <c r="BN94" s="68">
        <f>SourcedData!BS58</f>
        <v>2.1181730000000001</v>
      </c>
      <c r="BO94" s="63">
        <f>SourcedData!BT58</f>
        <v>3.3413940000000002</v>
      </c>
      <c r="BP94" s="63">
        <f>SourcedData!BU58</f>
        <v>3.9345979999999998</v>
      </c>
      <c r="BQ94" s="63">
        <f>SourcedData!BV58</f>
        <v>3.461741</v>
      </c>
      <c r="BR94" s="63">
        <f>SourcedData!BW58</f>
        <v>4.5649999999999996E-3</v>
      </c>
      <c r="BS94" s="63">
        <f>SourcedData!BX58</f>
        <v>1.1966509999999999</v>
      </c>
      <c r="BT94" s="63">
        <f>SourcedData!BY58</f>
        <v>3.717149</v>
      </c>
      <c r="BU94" s="63">
        <f>SourcedData!BZ58</f>
        <v>4.2774349999999997</v>
      </c>
      <c r="BV94" s="63">
        <f>SourcedData!CA58</f>
        <v>0.21578800000000001</v>
      </c>
      <c r="BW94" s="63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59">
        <f t="shared" si="31"/>
        <v>2.0671999999999997</v>
      </c>
      <c r="CK94" s="59">
        <f t="shared" si="31"/>
        <v>3.7635000000000001</v>
      </c>
      <c r="CL94" s="59">
        <f t="shared" si="31"/>
        <v>4.7218999999999998</v>
      </c>
      <c r="CM94" s="59">
        <f t="shared" si="31"/>
        <v>1.1062999999999998</v>
      </c>
      <c r="CN94" s="59">
        <f t="shared" si="31"/>
        <v>8.136363636363636E-2</v>
      </c>
      <c r="CO94" s="59">
        <f t="shared" si="31"/>
        <v>3.4505681818181815</v>
      </c>
      <c r="CP94" s="59">
        <f t="shared" si="31"/>
        <v>3.1784090909090912</v>
      </c>
      <c r="CQ94" s="59">
        <f t="shared" si="31"/>
        <v>2.6965909090909088</v>
      </c>
      <c r="CS94" t="s">
        <v>167</v>
      </c>
      <c r="CX94" s="4"/>
      <c r="CY94" s="4"/>
      <c r="CZ94" s="4" t="s">
        <v>152</v>
      </c>
      <c r="DA94" s="4" t="s">
        <v>138</v>
      </c>
      <c r="DB94" s="4" t="s">
        <v>138</v>
      </c>
      <c r="DC94" s="4" t="s">
        <v>140</v>
      </c>
      <c r="DD94" s="4" t="s">
        <v>140</v>
      </c>
      <c r="DE94" s="4" t="s">
        <v>140</v>
      </c>
      <c r="DF94" s="4" t="s">
        <v>140</v>
      </c>
      <c r="DG94" s="4" t="s">
        <v>140</v>
      </c>
      <c r="DH94" s="4" t="s">
        <v>141</v>
      </c>
      <c r="DI94" s="4" t="s">
        <v>142</v>
      </c>
      <c r="DJ94" s="4" t="s">
        <v>143</v>
      </c>
      <c r="DK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</row>
    <row r="95" spans="1:169" x14ac:dyDescent="0.2">
      <c r="A95" t="s">
        <v>128</v>
      </c>
      <c r="B95" t="s">
        <v>85</v>
      </c>
      <c r="D95" s="11"/>
      <c r="E95" s="29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68"/>
      <c r="BJ95" s="68">
        <f>SourcedData!BO59</f>
        <v>4.3429719999999996</v>
      </c>
      <c r="BK95" s="68">
        <f>SourcedData!BP59</f>
        <v>4.8045499999999999</v>
      </c>
      <c r="BL95" s="68"/>
      <c r="BM95" s="68">
        <f>SourcedData!BR59</f>
        <v>4.7438570000000002</v>
      </c>
      <c r="BN95" s="68">
        <f>SourcedData!BS59</f>
        <v>4.6050789999999999</v>
      </c>
      <c r="BO95" s="68">
        <f>SourcedData!BT59</f>
        <v>4.827</v>
      </c>
      <c r="BP95" s="68">
        <f>SourcedData!BU59</f>
        <v>4.5359999999999996</v>
      </c>
      <c r="BQ95" s="68">
        <f>SourcedData!BV59</f>
        <v>4.1110769999999999</v>
      </c>
      <c r="BR95" s="63">
        <f>SourcedData!BW59</f>
        <v>4.4698669999999998</v>
      </c>
      <c r="BS95" s="63">
        <f>SourcedData!BX59</f>
        <v>3.9768979999999998</v>
      </c>
      <c r="BT95" s="63">
        <f>SourcedData!BY59</f>
        <v>4.2946759999999999</v>
      </c>
      <c r="BU95" s="63">
        <f>SourcedData!BZ59</f>
        <v>5.3481779999999999</v>
      </c>
      <c r="BV95" s="63">
        <f>SourcedData!CA59</f>
        <v>5.9921139999999999</v>
      </c>
      <c r="BW95" s="63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24"/>
      <c r="CM95" s="24"/>
      <c r="CN95" s="24"/>
      <c r="CO95" s="24"/>
      <c r="CS95" t="s">
        <v>170</v>
      </c>
      <c r="CX95" s="4" t="s">
        <v>137</v>
      </c>
      <c r="CY95" s="4" t="s">
        <v>137</v>
      </c>
      <c r="CZ95" s="16"/>
      <c r="DA95" s="4" t="s">
        <v>138</v>
      </c>
      <c r="DB95" s="4" t="s">
        <v>138</v>
      </c>
      <c r="DC95" s="4" t="s">
        <v>153</v>
      </c>
      <c r="DD95" s="4" t="s">
        <v>153</v>
      </c>
      <c r="DE95" s="4" t="s">
        <v>153</v>
      </c>
      <c r="DF95" s="4" t="s">
        <v>140</v>
      </c>
      <c r="DG95" s="4" t="s">
        <v>140</v>
      </c>
      <c r="DH95" s="4" t="s">
        <v>141</v>
      </c>
      <c r="DI95" s="4" t="s">
        <v>142</v>
      </c>
      <c r="DJ95" s="4" t="s">
        <v>143</v>
      </c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</row>
    <row r="96" spans="1:169" x14ac:dyDescent="0.2">
      <c r="A96" s="11" t="s">
        <v>122</v>
      </c>
      <c r="B96" t="s">
        <v>85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68"/>
      <c r="BJ96" s="68">
        <f>SourcedData!BO60</f>
        <v>4.7875680000000003</v>
      </c>
      <c r="BK96" s="68">
        <f>SourcedData!BP60</f>
        <v>7.5271020000000002</v>
      </c>
      <c r="BL96" s="68">
        <f>SourcedData!BQ60</f>
        <v>8.3384839999999993</v>
      </c>
      <c r="BM96" s="68">
        <f>SourcedData!BR60</f>
        <v>8.9708780000000008</v>
      </c>
      <c r="BN96" s="68">
        <f>SourcedData!BS60</f>
        <v>8.8389670000000002</v>
      </c>
      <c r="BO96" s="68">
        <f>SourcedData!BT60</f>
        <v>9.0920000000000005</v>
      </c>
      <c r="BP96" s="68">
        <f>SourcedData!BU60</f>
        <v>8.1379999999999999</v>
      </c>
      <c r="BQ96" s="68">
        <f>SourcedData!BV60</f>
        <v>6.3654770000000003</v>
      </c>
      <c r="BR96" s="63">
        <f>SourcedData!BW60</f>
        <v>7.2799589999999998</v>
      </c>
      <c r="BS96" s="63">
        <f>SourcedData!BX60</f>
        <v>8.3771550000000001</v>
      </c>
      <c r="BT96" s="63">
        <f>SourcedData!BY60</f>
        <v>7.8725880000000004</v>
      </c>
      <c r="BU96" s="63">
        <f>SourcedData!BZ60</f>
        <v>8.0035360000000004</v>
      </c>
      <c r="BV96" s="63">
        <f>SourcedData!CA60</f>
        <v>7.5390750000000004</v>
      </c>
      <c r="BW96" s="63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24"/>
      <c r="CM96" s="24"/>
      <c r="CN96" s="24"/>
      <c r="CO96" s="24"/>
      <c r="CS96" t="s">
        <v>168</v>
      </c>
      <c r="CX96" s="4" t="s">
        <v>137</v>
      </c>
      <c r="CY96" s="4" t="s">
        <v>137</v>
      </c>
      <c r="CZ96" s="4" t="s">
        <v>152</v>
      </c>
      <c r="DA96" s="4" t="s">
        <v>138</v>
      </c>
      <c r="DB96" s="4" t="s">
        <v>138</v>
      </c>
      <c r="DC96" s="4" t="s">
        <v>153</v>
      </c>
      <c r="DD96" s="4" t="s">
        <v>153</v>
      </c>
      <c r="DE96" s="4" t="s">
        <v>153</v>
      </c>
      <c r="DF96" s="4" t="s">
        <v>140</v>
      </c>
      <c r="DG96" s="4" t="s">
        <v>140</v>
      </c>
      <c r="DH96" s="4" t="s">
        <v>141</v>
      </c>
      <c r="DI96" s="4" t="s">
        <v>142</v>
      </c>
      <c r="DJ96" s="4" t="s">
        <v>143</v>
      </c>
      <c r="DK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</row>
    <row r="97" spans="1:196" x14ac:dyDescent="0.2">
      <c r="A97" t="s">
        <v>103</v>
      </c>
      <c r="B97" t="s">
        <v>85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65">
        <f t="shared" ref="X97:BC97" si="33">X80/X42</f>
        <v>3.0446351931330473</v>
      </c>
      <c r="Y97" s="65">
        <f t="shared" si="33"/>
        <v>3.5896995708154504</v>
      </c>
      <c r="Z97" s="65">
        <f t="shared" si="33"/>
        <v>3.5184549356223171</v>
      </c>
      <c r="AA97" s="65">
        <f t="shared" si="33"/>
        <v>3.6832618025751072</v>
      </c>
      <c r="AB97" s="65">
        <f t="shared" si="33"/>
        <v>3.6321888412017169</v>
      </c>
      <c r="AC97" s="65">
        <f t="shared" si="33"/>
        <v>3.5077253218884121</v>
      </c>
      <c r="AD97" s="65">
        <f t="shared" si="33"/>
        <v>3.5334763948497852</v>
      </c>
      <c r="AE97" s="65">
        <f t="shared" si="33"/>
        <v>3.3557939914163089</v>
      </c>
      <c r="AF97" s="65">
        <f t="shared" si="33"/>
        <v>3.16137339055794</v>
      </c>
      <c r="AG97" s="65">
        <f t="shared" si="33"/>
        <v>2.9824034334763945</v>
      </c>
      <c r="AH97" s="65">
        <f t="shared" si="33"/>
        <v>3.6004291845493559</v>
      </c>
      <c r="AI97" s="65">
        <f t="shared" si="33"/>
        <v>3.5472103004291844</v>
      </c>
      <c r="AJ97" s="65">
        <f t="shared" si="33"/>
        <v>3.0472103004291844</v>
      </c>
      <c r="AK97" s="65">
        <f t="shared" si="33"/>
        <v>3.4085836909871245</v>
      </c>
      <c r="AL97" s="65">
        <f t="shared" si="33"/>
        <v>3.8884120171673819</v>
      </c>
      <c r="AM97" s="65">
        <f t="shared" si="33"/>
        <v>3.5669527896995703</v>
      </c>
      <c r="AN97" s="65">
        <f t="shared" si="33"/>
        <v>3.1596566523605145</v>
      </c>
      <c r="AO97" s="65">
        <f t="shared" si="33"/>
        <v>3.3824034334763948</v>
      </c>
      <c r="AP97" s="65">
        <f t="shared" si="33"/>
        <v>3.3974248927038624</v>
      </c>
      <c r="AQ97" s="65">
        <f t="shared" si="33"/>
        <v>3.4429184549356222</v>
      </c>
      <c r="AR97" s="65">
        <f t="shared" si="33"/>
        <v>3.1635193133047208</v>
      </c>
      <c r="AS97" s="65">
        <f t="shared" si="33"/>
        <v>3.0476394849785402</v>
      </c>
      <c r="AT97" s="65">
        <f t="shared" si="33"/>
        <v>3.5158798283261801</v>
      </c>
      <c r="AU97" s="65">
        <f t="shared" si="33"/>
        <v>3.3291845493562229</v>
      </c>
      <c r="AV97" s="65">
        <f t="shared" si="33"/>
        <v>3.0729613733905579</v>
      </c>
      <c r="AW97" s="65">
        <f t="shared" si="33"/>
        <v>3.0815450643776821</v>
      </c>
      <c r="AX97" s="65">
        <f t="shared" si="33"/>
        <v>3.5364806866952785</v>
      </c>
      <c r="AY97" s="65">
        <f t="shared" si="33"/>
        <v>3.3218884120171674</v>
      </c>
      <c r="AZ97" s="65">
        <f t="shared" si="33"/>
        <v>3.3819742489270386</v>
      </c>
      <c r="BA97" s="65">
        <f t="shared" si="33"/>
        <v>3.5493562231759652</v>
      </c>
      <c r="BB97" s="65">
        <f t="shared" si="33"/>
        <v>3.4248927038626609</v>
      </c>
      <c r="BC97" s="65">
        <f t="shared" si="33"/>
        <v>1.3175965665236051</v>
      </c>
      <c r="BD97" s="103"/>
      <c r="BE97" s="103"/>
      <c r="BF97" s="103"/>
      <c r="BG97" s="103"/>
      <c r="BH97" s="11"/>
      <c r="BI97" s="68"/>
      <c r="BJ97" s="68"/>
      <c r="BK97" s="68"/>
      <c r="BL97" s="68"/>
      <c r="BM97" s="68"/>
      <c r="BN97" s="68"/>
      <c r="BO97" s="68"/>
      <c r="BP97" s="68"/>
      <c r="BQ97" s="68"/>
      <c r="BR97" s="67"/>
      <c r="BS97" s="67"/>
      <c r="BT97" s="63"/>
      <c r="BU97" s="63"/>
      <c r="BV97" s="63"/>
      <c r="BW97" s="63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59">
        <f t="shared" ref="CJ97:CQ97" si="34">SUMIF($D$7:$BH$7,CJ$8,$D97:$BH97)</f>
        <v>13.836051502145922</v>
      </c>
      <c r="CK97" s="59">
        <f t="shared" si="34"/>
        <v>14.029184549356223</v>
      </c>
      <c r="CL97" s="59">
        <f t="shared" si="34"/>
        <v>13.291416309012874</v>
      </c>
      <c r="CM97" s="59">
        <f t="shared" si="34"/>
        <v>13.91115879828326</v>
      </c>
      <c r="CN97" s="59">
        <f t="shared" si="34"/>
        <v>13.382403433476394</v>
      </c>
      <c r="CO97" s="59">
        <f t="shared" si="34"/>
        <v>13.056223175965664</v>
      </c>
      <c r="CP97" s="59">
        <f t="shared" si="34"/>
        <v>13.012875536480685</v>
      </c>
      <c r="CQ97" s="59">
        <f t="shared" si="34"/>
        <v>11.67381974248927</v>
      </c>
      <c r="CR97" s="58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</row>
    <row r="98" spans="1:196" ht="13.5" customHeight="1" x14ac:dyDescent="0.2">
      <c r="C98" s="22"/>
      <c r="D98" s="1"/>
      <c r="E98" s="1"/>
      <c r="F98" s="1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68"/>
      <c r="BJ98" s="68"/>
      <c r="BK98" s="68"/>
      <c r="BL98" s="68"/>
      <c r="BM98" s="68"/>
      <c r="BN98" s="68"/>
      <c r="BO98" s="68"/>
      <c r="BP98" s="68"/>
      <c r="BQ98" s="68"/>
      <c r="BR98" s="63"/>
      <c r="BS98" s="63"/>
      <c r="BT98" s="63"/>
      <c r="BU98" s="63"/>
      <c r="BV98" s="1"/>
      <c r="BW98" s="1"/>
      <c r="BX98" s="1"/>
      <c r="BY98" s="1"/>
      <c r="BZ98" s="1"/>
      <c r="CA98" s="1"/>
      <c r="CB98" s="1"/>
      <c r="CC98" s="1"/>
      <c r="CL98" s="24"/>
      <c r="CM98" s="24"/>
      <c r="CN98" s="24"/>
      <c r="CO98" s="24"/>
      <c r="CT98" s="1"/>
      <c r="CU98" s="4"/>
      <c r="CV98" s="1"/>
      <c r="CW98" s="1"/>
      <c r="CX98" s="17"/>
      <c r="CY98" s="1"/>
      <c r="CZ98" s="1"/>
      <c r="DA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</row>
    <row r="99" spans="1:196" ht="13.5" customHeight="1" x14ac:dyDescent="0.2">
      <c r="A99" s="94" t="s">
        <v>175</v>
      </c>
      <c r="B99" t="s">
        <v>150</v>
      </c>
      <c r="C99" s="22"/>
      <c r="D99" s="1"/>
      <c r="E99" s="1"/>
      <c r="F99" s="1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65">
        <f t="shared" ref="X99:BC99" si="35">X82*SUM(X$86:X$97)</f>
        <v>8.2200978455200886</v>
      </c>
      <c r="Y99" s="65">
        <f t="shared" si="35"/>
        <v>6.6232778202353737</v>
      </c>
      <c r="Z99" s="65">
        <f t="shared" si="35"/>
        <v>8.2238949341295609</v>
      </c>
      <c r="AA99" s="65">
        <f t="shared" si="35"/>
        <v>7.7897724525359688</v>
      </c>
      <c r="AB99" s="65">
        <f t="shared" si="35"/>
        <v>8.4291971537242318</v>
      </c>
      <c r="AC99" s="65">
        <f t="shared" si="35"/>
        <v>7.9931766062704961</v>
      </c>
      <c r="AD99" s="65">
        <f t="shared" si="35"/>
        <v>7.8603883391467013</v>
      </c>
      <c r="AE99" s="65">
        <f t="shared" si="35"/>
        <v>8.3589695206105397</v>
      </c>
      <c r="AF99" s="65">
        <f t="shared" si="35"/>
        <v>6.0148437375236616</v>
      </c>
      <c r="AG99" s="65">
        <f t="shared" si="35"/>
        <v>8.2441259865241836</v>
      </c>
      <c r="AH99" s="65">
        <f t="shared" si="35"/>
        <v>9.3073386675581578</v>
      </c>
      <c r="AI99" s="65">
        <f t="shared" si="35"/>
        <v>8.6218267526033117</v>
      </c>
      <c r="AJ99" s="65">
        <f t="shared" si="35"/>
        <v>5.8517394105350915</v>
      </c>
      <c r="AK99" s="65">
        <f t="shared" si="35"/>
        <v>6.2750197366095657</v>
      </c>
      <c r="AL99" s="65">
        <f t="shared" si="35"/>
        <v>7.496608024571989</v>
      </c>
      <c r="AM99" s="65">
        <f t="shared" si="35"/>
        <v>6.2608253130832789</v>
      </c>
      <c r="AN99" s="65">
        <f t="shared" si="35"/>
        <v>5.2459588706327542</v>
      </c>
      <c r="AO99" s="65">
        <f t="shared" si="35"/>
        <v>5.221021454780824</v>
      </c>
      <c r="AP99" s="65">
        <f t="shared" si="35"/>
        <v>6.8671654910988416</v>
      </c>
      <c r="AQ99" s="65">
        <f t="shared" si="35"/>
        <v>5.4690869505569868</v>
      </c>
      <c r="AR99" s="65">
        <f t="shared" si="35"/>
        <v>4.2453364858906699</v>
      </c>
      <c r="AS99" s="65">
        <f t="shared" si="35"/>
        <v>4.5420269884266826</v>
      </c>
      <c r="AT99" s="65">
        <f t="shared" si="35"/>
        <v>8.0461648148238787</v>
      </c>
      <c r="AU99" s="65">
        <f t="shared" si="35"/>
        <v>6.6231915918799809</v>
      </c>
      <c r="AV99" s="65">
        <f t="shared" si="35"/>
        <v>5.5276088852294922</v>
      </c>
      <c r="AW99" s="65">
        <f t="shared" si="35"/>
        <v>4.7442121372330099</v>
      </c>
      <c r="AX99" s="65">
        <f t="shared" si="35"/>
        <v>5.9163994875314199</v>
      </c>
      <c r="AY99" s="65">
        <f t="shared" si="35"/>
        <v>7.2274071129292485</v>
      </c>
      <c r="AZ99" s="65">
        <f t="shared" si="35"/>
        <v>5.9226079344411042</v>
      </c>
      <c r="BA99" s="65">
        <f t="shared" si="35"/>
        <v>6.4792131680239153</v>
      </c>
      <c r="BB99" s="65">
        <f t="shared" si="35"/>
        <v>6.547796810991442</v>
      </c>
      <c r="BC99" s="65">
        <f t="shared" si="35"/>
        <v>3.7337942159524631</v>
      </c>
      <c r="BD99" s="103"/>
      <c r="BE99" s="103"/>
      <c r="BF99" s="103"/>
      <c r="BG99" s="103"/>
      <c r="BH99" s="11"/>
      <c r="BI99" s="68"/>
      <c r="BJ99" s="68"/>
      <c r="BK99" s="68"/>
      <c r="BL99" s="68"/>
      <c r="BM99" s="68"/>
      <c r="BN99" s="68"/>
      <c r="BO99" s="68"/>
      <c r="BP99" s="68"/>
      <c r="BQ99" s="68"/>
      <c r="BR99" s="63"/>
      <c r="BS99" s="63"/>
      <c r="BT99" s="63"/>
      <c r="BU99" s="63"/>
      <c r="BV99" s="1"/>
      <c r="BW99" s="1"/>
      <c r="BX99" s="1"/>
      <c r="BY99" s="1"/>
      <c r="BZ99" s="1"/>
      <c r="CA99" s="1"/>
      <c r="CB99" s="1"/>
      <c r="CC99" s="1"/>
      <c r="CJ99" s="59">
        <f t="shared" ref="CJ99:CQ100" si="36">SUMIF($D$7:$BH$7,CJ$8,$D99:$BH99)</f>
        <v>30.857043052420991</v>
      </c>
      <c r="CK99" s="59">
        <f t="shared" si="36"/>
        <v>32.641731619751965</v>
      </c>
      <c r="CL99" s="59">
        <f t="shared" si="36"/>
        <v>32.188135144209312</v>
      </c>
      <c r="CM99" s="59">
        <f t="shared" si="36"/>
        <v>25.884192484799925</v>
      </c>
      <c r="CN99" s="59">
        <f t="shared" si="36"/>
        <v>22.803232767069403</v>
      </c>
      <c r="CO99" s="59">
        <f t="shared" si="36"/>
        <v>23.456719881021211</v>
      </c>
      <c r="CP99" s="59">
        <f t="shared" si="36"/>
        <v>23.415627622923171</v>
      </c>
      <c r="CQ99" s="59">
        <f t="shared" si="36"/>
        <v>22.683412129408925</v>
      </c>
      <c r="CS99" t="s">
        <v>176</v>
      </c>
      <c r="CT99" s="1"/>
      <c r="CU99" s="4"/>
      <c r="CV99" s="1"/>
      <c r="CW99" s="1"/>
      <c r="CX99" s="17"/>
      <c r="CY99" s="1"/>
      <c r="CZ99" s="1"/>
      <c r="DA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</row>
    <row r="100" spans="1:196" ht="13.5" customHeight="1" x14ac:dyDescent="0.2">
      <c r="A100" s="94" t="s">
        <v>177</v>
      </c>
      <c r="B100" t="s">
        <v>150</v>
      </c>
      <c r="C100" s="22"/>
      <c r="D100" s="1"/>
      <c r="E100" s="1"/>
      <c r="F100" s="1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65">
        <f t="shared" ref="X100:BC100" si="37">X83*SUM(X$86:X$97)</f>
        <v>0.85728107415099042</v>
      </c>
      <c r="Y100" s="65">
        <f t="shared" si="37"/>
        <v>1.4865033476679019</v>
      </c>
      <c r="Z100" s="65">
        <f t="shared" si="37"/>
        <v>1.4627612619731749</v>
      </c>
      <c r="AA100" s="65">
        <f t="shared" si="37"/>
        <v>1.1296193524641132</v>
      </c>
      <c r="AB100" s="65">
        <f t="shared" si="37"/>
        <v>1.1912936470245306</v>
      </c>
      <c r="AC100" s="65">
        <f t="shared" si="37"/>
        <v>1.2816086068667374</v>
      </c>
      <c r="AD100" s="65">
        <f t="shared" si="37"/>
        <v>1.4464373368155696</v>
      </c>
      <c r="AE100" s="65">
        <f t="shared" si="37"/>
        <v>1.3445902334986937</v>
      </c>
      <c r="AF100" s="65">
        <f t="shared" si="37"/>
        <v>1.6415507195820458</v>
      </c>
      <c r="AG100" s="65">
        <f t="shared" si="37"/>
        <v>1.4714231114397303</v>
      </c>
      <c r="AH100" s="65">
        <f t="shared" si="37"/>
        <v>1.5794251589563428</v>
      </c>
      <c r="AI100" s="65">
        <f t="shared" si="37"/>
        <v>1.964614006098822</v>
      </c>
      <c r="AJ100" s="65">
        <f t="shared" si="37"/>
        <v>1.5813411726231872</v>
      </c>
      <c r="AK100" s="65">
        <f t="shared" si="37"/>
        <v>1.4719951621778207</v>
      </c>
      <c r="AL100" s="65">
        <f t="shared" si="37"/>
        <v>1.6375397841586037</v>
      </c>
      <c r="AM100" s="65">
        <f t="shared" si="37"/>
        <v>1.8682184561454263</v>
      </c>
      <c r="AN100" s="65">
        <f t="shared" si="37"/>
        <v>1.6029086657520353</v>
      </c>
      <c r="AO100" s="65">
        <f t="shared" si="37"/>
        <v>1.4610756741962632</v>
      </c>
      <c r="AP100" s="65">
        <f t="shared" si="37"/>
        <v>1.3881014283880064</v>
      </c>
      <c r="AQ100" s="65">
        <f t="shared" si="37"/>
        <v>2.713021951896545</v>
      </c>
      <c r="AR100" s="65">
        <f t="shared" si="37"/>
        <v>1.1464588091389862</v>
      </c>
      <c r="AS100" s="65">
        <f t="shared" si="37"/>
        <v>1.0577264580688781</v>
      </c>
      <c r="AT100" s="65">
        <f t="shared" si="37"/>
        <v>1.6719486748614789</v>
      </c>
      <c r="AU100" s="65">
        <f t="shared" si="37"/>
        <v>1.8204561102348804</v>
      </c>
      <c r="AV100" s="65">
        <f t="shared" si="37"/>
        <v>1.3439752778654395</v>
      </c>
      <c r="AW100" s="65">
        <f t="shared" si="37"/>
        <v>2.0079405059196538</v>
      </c>
      <c r="AX100" s="65">
        <f t="shared" si="37"/>
        <v>2.5040571198288197</v>
      </c>
      <c r="AY100" s="65">
        <f t="shared" si="37"/>
        <v>1.8087517275259317</v>
      </c>
      <c r="AZ100" s="65">
        <f t="shared" si="37"/>
        <v>1.4822089257591828</v>
      </c>
      <c r="BA100" s="65">
        <f t="shared" si="37"/>
        <v>1.6215065551942081</v>
      </c>
      <c r="BB100" s="65">
        <f t="shared" si="37"/>
        <v>1.6386704952849245</v>
      </c>
      <c r="BC100" s="65">
        <f t="shared" si="37"/>
        <v>0.93443009820892342</v>
      </c>
      <c r="BD100" s="103"/>
      <c r="BE100" s="103"/>
      <c r="BF100" s="103"/>
      <c r="BG100" s="103"/>
      <c r="BH100" s="11"/>
      <c r="BI100" s="68"/>
      <c r="BJ100" s="68"/>
      <c r="BK100" s="68"/>
      <c r="BL100" s="68"/>
      <c r="BM100" s="68"/>
      <c r="BN100" s="68"/>
      <c r="BO100" s="68"/>
      <c r="BP100" s="68"/>
      <c r="BQ100" s="68"/>
      <c r="BR100" s="63"/>
      <c r="BS100" s="63"/>
      <c r="BT100" s="63"/>
      <c r="BU100" s="63"/>
      <c r="BV100" s="1"/>
      <c r="BW100" s="1"/>
      <c r="BX100" s="1"/>
      <c r="BY100" s="1"/>
      <c r="BZ100" s="1"/>
      <c r="CA100" s="1"/>
      <c r="CB100" s="1"/>
      <c r="CC100" s="1"/>
      <c r="CJ100" s="59">
        <f t="shared" si="36"/>
        <v>4.9361650362561802</v>
      </c>
      <c r="CK100" s="59">
        <f t="shared" si="36"/>
        <v>5.2639298242055315</v>
      </c>
      <c r="CL100" s="59">
        <f t="shared" si="36"/>
        <v>6.6570129960769409</v>
      </c>
      <c r="CM100" s="59">
        <f t="shared" si="36"/>
        <v>6.5590945751050374</v>
      </c>
      <c r="CN100" s="59">
        <f t="shared" si="36"/>
        <v>7.1651077202328501</v>
      </c>
      <c r="CO100" s="59">
        <f t="shared" si="36"/>
        <v>5.6965900523042237</v>
      </c>
      <c r="CP100" s="59">
        <f t="shared" si="36"/>
        <v>7.6647246311398449</v>
      </c>
      <c r="CQ100" s="59">
        <f t="shared" si="36"/>
        <v>5.6768160744472391</v>
      </c>
      <c r="CS100" t="s">
        <v>178</v>
      </c>
      <c r="CT100" s="1"/>
      <c r="CU100" s="4"/>
      <c r="CV100" s="1"/>
      <c r="CW100" s="1"/>
      <c r="CX100" s="17"/>
      <c r="CY100" s="1"/>
      <c r="CZ100" s="1"/>
      <c r="DA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</row>
    <row r="101" spans="1:196" ht="13.5" customHeight="1" x14ac:dyDescent="0.2">
      <c r="C101" s="22"/>
      <c r="D101" s="1"/>
      <c r="E101" s="1"/>
      <c r="F101" s="1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1"/>
      <c r="BI101" s="68"/>
      <c r="BJ101" s="68"/>
      <c r="BK101" s="68"/>
      <c r="BL101" s="68"/>
      <c r="BM101" s="68"/>
      <c r="BN101" s="68"/>
      <c r="BO101" s="68"/>
      <c r="BP101" s="68"/>
      <c r="BQ101" s="68"/>
      <c r="BR101" s="63"/>
      <c r="BS101" s="63"/>
      <c r="BT101" s="63"/>
      <c r="BU101" s="63"/>
      <c r="BV101" s="1"/>
      <c r="BW101" s="1"/>
      <c r="BX101" s="1"/>
      <c r="BY101" s="1"/>
      <c r="BZ101" s="1"/>
      <c r="CA101" s="1"/>
      <c r="CB101" s="1"/>
      <c r="CC101" s="1"/>
      <c r="CK101" s="50"/>
      <c r="CL101" s="24"/>
      <c r="CM101" s="24"/>
      <c r="CN101" s="24"/>
      <c r="CO101" s="24"/>
      <c r="CT101" s="1"/>
      <c r="CU101" s="4"/>
      <c r="CV101" s="1"/>
      <c r="CW101" s="1"/>
      <c r="CX101" s="17"/>
      <c r="CY101" s="1"/>
      <c r="CZ101" s="1"/>
      <c r="DA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</row>
    <row r="102" spans="1:196" x14ac:dyDescent="0.2"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68"/>
      <c r="BJ102" s="68"/>
      <c r="BK102" s="68"/>
      <c r="BL102" s="68"/>
      <c r="BM102" s="68"/>
      <c r="BN102" s="68"/>
      <c r="BO102" s="68"/>
      <c r="BP102" s="68"/>
      <c r="BQ102" s="68"/>
      <c r="BR102" s="63"/>
      <c r="BS102" s="63"/>
      <c r="BT102" s="63"/>
      <c r="BU102" s="63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24"/>
      <c r="CM102" s="24"/>
      <c r="CN102" s="24"/>
      <c r="CO102" s="24"/>
      <c r="CX102" s="4"/>
      <c r="CY102" s="4"/>
      <c r="CZ102" s="16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</row>
    <row r="103" spans="1:196" x14ac:dyDescent="0.2">
      <c r="A103" s="1" t="s">
        <v>179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68"/>
      <c r="BJ103" s="68"/>
      <c r="BK103" s="68"/>
      <c r="BL103" s="68"/>
      <c r="BM103" s="68"/>
      <c r="BN103" s="68"/>
      <c r="BO103" s="68"/>
      <c r="BP103" s="68"/>
      <c r="BQ103" s="68"/>
      <c r="BR103" s="63"/>
      <c r="BS103" s="63"/>
      <c r="BT103" s="63"/>
      <c r="BU103" s="63"/>
      <c r="BX103" s="11"/>
      <c r="BY103" s="11"/>
      <c r="BZ103" s="11"/>
      <c r="CA103" s="11"/>
      <c r="CB103" s="11"/>
      <c r="CC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</row>
    <row r="104" spans="1:196" x14ac:dyDescent="0.2">
      <c r="A104" t="s">
        <v>98</v>
      </c>
      <c r="B104" t="s">
        <v>85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>
        <f>SourcedData!AD61</f>
        <v>0.38700000000000001</v>
      </c>
      <c r="Y104" s="12">
        <f>(0.2593)</f>
        <v>0.25929999999999997</v>
      </c>
      <c r="Z104" s="12">
        <f>(0.3425)</f>
        <v>0.34250000000000003</v>
      </c>
      <c r="AA104" s="12">
        <f>(0.3108)</f>
        <v>0.31080000000000002</v>
      </c>
      <c r="AB104" s="12">
        <f>(0.1145)</f>
        <v>0.1145</v>
      </c>
      <c r="AC104" s="12">
        <f>(0.1934)</f>
        <v>0.19339999999999999</v>
      </c>
      <c r="AD104" s="12">
        <f>(0.3577)</f>
        <v>0.35770000000000002</v>
      </c>
      <c r="AE104" s="12">
        <f>(0.3205)</f>
        <v>0.32050000000000001</v>
      </c>
      <c r="AF104" s="12">
        <f>(0.2633)</f>
        <v>0.26329999999999998</v>
      </c>
      <c r="AG104" s="12">
        <f>0.1452</f>
        <v>0.1452</v>
      </c>
      <c r="AH104" s="12">
        <f>0.3232</f>
        <v>0.32319999999999999</v>
      </c>
      <c r="AI104" s="12">
        <f>0.2229</f>
        <v>0.22289999999999999</v>
      </c>
      <c r="AJ104" s="12">
        <f>0.2631</f>
        <v>0.2631</v>
      </c>
      <c r="AK104" s="12">
        <f>0.34</f>
        <v>0.34</v>
      </c>
      <c r="AL104" s="12">
        <f>0.4297</f>
        <v>0.42970000000000003</v>
      </c>
      <c r="AM104" s="11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I104" s="68"/>
      <c r="BJ104" s="68"/>
      <c r="BK104" s="68"/>
      <c r="BL104" s="68"/>
      <c r="BM104" s="68"/>
      <c r="BN104" s="68"/>
      <c r="BO104" s="68"/>
      <c r="BP104" s="68"/>
      <c r="BQ104" s="68"/>
      <c r="BR104" s="63"/>
      <c r="BS104" s="63"/>
      <c r="BT104" s="63"/>
      <c r="BU104" s="63"/>
      <c r="BX104" s="11"/>
      <c r="BY104" s="11"/>
      <c r="BZ104" s="11"/>
      <c r="CA104" s="11"/>
      <c r="CB104" s="11"/>
      <c r="CC104" s="11"/>
      <c r="EG104" s="4" t="s">
        <v>160</v>
      </c>
      <c r="EH104" s="4" t="s">
        <v>160</v>
      </c>
      <c r="EI104" s="4" t="s">
        <v>160</v>
      </c>
      <c r="EJ104" s="4" t="s">
        <v>96</v>
      </c>
      <c r="EK104" s="4" t="s">
        <v>96</v>
      </c>
      <c r="EL104" s="4" t="s">
        <v>96</v>
      </c>
      <c r="EM104" s="4" t="s">
        <v>96</v>
      </c>
      <c r="EN104" s="4" t="s">
        <v>96</v>
      </c>
      <c r="EO104" s="4" t="s">
        <v>97</v>
      </c>
      <c r="EP104" s="4" t="s">
        <v>97</v>
      </c>
      <c r="EQ104" s="4" t="s">
        <v>97</v>
      </c>
      <c r="ER104" s="4" t="s">
        <v>97</v>
      </c>
      <c r="ES104" s="4" t="s">
        <v>180</v>
      </c>
      <c r="ET104" s="4" t="s">
        <v>180</v>
      </c>
      <c r="EU104" s="4" t="s">
        <v>180</v>
      </c>
      <c r="EV104" s="4" t="s">
        <v>113</v>
      </c>
      <c r="EW104" s="4" t="s">
        <v>114</v>
      </c>
      <c r="EX104" s="4" t="s">
        <v>114</v>
      </c>
      <c r="EY104" s="4" t="s">
        <v>114</v>
      </c>
      <c r="EZ104" s="4" t="s">
        <v>114</v>
      </c>
    </row>
    <row r="105" spans="1:196" x14ac:dyDescent="0.2">
      <c r="A105" t="s">
        <v>144</v>
      </c>
      <c r="B105" t="s">
        <v>85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68"/>
      <c r="BJ105" s="68"/>
      <c r="BK105" s="68"/>
      <c r="BL105" s="68"/>
      <c r="BM105" s="68"/>
      <c r="BN105" s="68"/>
      <c r="BO105" s="68"/>
      <c r="BP105" s="68"/>
      <c r="BQ105" s="68"/>
      <c r="BR105" s="63"/>
      <c r="BS105" s="63"/>
      <c r="BT105" s="63"/>
      <c r="BU105" s="63"/>
      <c r="BX105" s="11"/>
      <c r="BY105" s="11"/>
      <c r="BZ105" s="11"/>
      <c r="CA105" s="11"/>
      <c r="CB105" s="11"/>
      <c r="CC105" s="11"/>
    </row>
    <row r="106" spans="1:196" ht="14.25" customHeight="1" x14ac:dyDescent="0.2">
      <c r="A106" s="11" t="s">
        <v>146</v>
      </c>
      <c r="B106" s="11" t="s">
        <v>85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2">
        <f>0.0834</f>
        <v>8.3400000000000002E-2</v>
      </c>
      <c r="Y106" s="12">
        <f>0.0415</f>
        <v>4.1500000000000002E-2</v>
      </c>
      <c r="Z106" s="12">
        <f>0.062</f>
        <v>6.2E-2</v>
      </c>
      <c r="AA106" s="12">
        <f>0.0954</f>
        <v>9.5399999999999999E-2</v>
      </c>
      <c r="AB106" s="12">
        <f>0.0655</f>
        <v>6.5500000000000003E-2</v>
      </c>
      <c r="AC106" s="12">
        <f>0.066</f>
        <v>6.6000000000000003E-2</v>
      </c>
      <c r="AD106" s="12">
        <f>0.0716</f>
        <v>7.1599999999999997E-2</v>
      </c>
      <c r="AE106" s="12">
        <f>0.081</f>
        <v>8.1000000000000003E-2</v>
      </c>
      <c r="AF106" s="12">
        <f>0.064</f>
        <v>6.4000000000000001E-2</v>
      </c>
      <c r="AG106" s="12">
        <f>0.0637</f>
        <v>6.3700000000000007E-2</v>
      </c>
      <c r="AH106" s="12">
        <f>0.0813</f>
        <v>8.1299999999999997E-2</v>
      </c>
      <c r="AI106" s="12">
        <f>0.1232</f>
        <v>0.1232</v>
      </c>
      <c r="AJ106" s="12">
        <f>0.1147</f>
        <v>0.1147</v>
      </c>
      <c r="AK106" s="12">
        <f>0.0822</f>
        <v>8.2199999999999995E-2</v>
      </c>
      <c r="AL106" s="12">
        <f>0.1028</f>
        <v>0.1028</v>
      </c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70"/>
      <c r="BJ106" s="68"/>
      <c r="BK106" s="68"/>
      <c r="BL106" s="68"/>
      <c r="BM106" s="68"/>
      <c r="BN106" s="68"/>
      <c r="BO106" s="68"/>
      <c r="BP106" s="68"/>
      <c r="BQ106" s="68"/>
      <c r="BR106" s="63"/>
      <c r="BS106" s="63"/>
      <c r="BT106" s="63"/>
      <c r="BU106" s="63"/>
      <c r="BX106" s="11"/>
      <c r="BY106" s="11"/>
      <c r="BZ106" s="11"/>
      <c r="CA106" s="11"/>
      <c r="CB106" s="11"/>
      <c r="CC106" s="11"/>
      <c r="CH106" s="11"/>
      <c r="CI106" s="11"/>
      <c r="CJ106" s="11"/>
      <c r="CK106" s="11"/>
      <c r="CL106" s="11"/>
      <c r="CM106" s="11"/>
      <c r="CN106" s="11"/>
      <c r="CO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4" t="s">
        <v>160</v>
      </c>
      <c r="EH106" s="4" t="s">
        <v>160</v>
      </c>
      <c r="EI106" s="4" t="s">
        <v>160</v>
      </c>
      <c r="EJ106" s="4" t="s">
        <v>96</v>
      </c>
      <c r="EK106" s="4" t="s">
        <v>96</v>
      </c>
      <c r="EL106" s="4" t="s">
        <v>96</v>
      </c>
      <c r="EM106" s="4" t="s">
        <v>96</v>
      </c>
      <c r="EN106" s="4" t="s">
        <v>96</v>
      </c>
      <c r="EO106" s="4" t="s">
        <v>97</v>
      </c>
      <c r="EP106" s="4" t="s">
        <v>97</v>
      </c>
      <c r="EQ106" s="4" t="s">
        <v>97</v>
      </c>
      <c r="ER106" s="4" t="s">
        <v>97</v>
      </c>
      <c r="ES106" s="4" t="s">
        <v>180</v>
      </c>
      <c r="ET106" s="4" t="s">
        <v>180</v>
      </c>
      <c r="EU106" s="4" t="s">
        <v>180</v>
      </c>
      <c r="EV106" s="4" t="s">
        <v>113</v>
      </c>
      <c r="EW106" s="4" t="s">
        <v>114</v>
      </c>
      <c r="EX106" s="4" t="s">
        <v>114</v>
      </c>
      <c r="EY106" s="4" t="s">
        <v>114</v>
      </c>
      <c r="EZ106" s="4" t="s">
        <v>114</v>
      </c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</row>
    <row r="107" spans="1:196" x14ac:dyDescent="0.2">
      <c r="A107" t="s">
        <v>128</v>
      </c>
      <c r="B107" t="s">
        <v>85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68"/>
      <c r="BJ107" s="68"/>
      <c r="BK107" s="68"/>
      <c r="BL107" s="68"/>
      <c r="BM107" s="68"/>
      <c r="BN107" s="68"/>
      <c r="BO107" s="68"/>
      <c r="BP107" s="68"/>
      <c r="BQ107" s="68"/>
      <c r="BR107" s="63"/>
      <c r="BS107" s="63"/>
      <c r="BT107" s="63"/>
      <c r="BU107" s="63"/>
      <c r="BX107" s="11"/>
      <c r="BY107" s="11"/>
      <c r="BZ107" s="11"/>
      <c r="CA107" s="11"/>
      <c r="CB107" s="11"/>
      <c r="CC107" s="11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</row>
    <row r="108" spans="1:196" x14ac:dyDescent="0.2">
      <c r="A108" t="s">
        <v>122</v>
      </c>
      <c r="B108" t="s">
        <v>85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68"/>
      <c r="BJ108" s="68"/>
      <c r="BK108" s="68"/>
      <c r="BL108" s="68"/>
      <c r="BM108" s="68"/>
      <c r="BN108" s="68"/>
      <c r="BO108" s="68"/>
      <c r="BP108" s="68"/>
      <c r="BQ108" s="68"/>
      <c r="BR108" s="63"/>
      <c r="BS108" s="63"/>
      <c r="BT108" s="63"/>
      <c r="BU108" s="63"/>
      <c r="BX108" s="11"/>
      <c r="BY108" s="11"/>
      <c r="BZ108" s="11"/>
      <c r="CA108" s="11"/>
      <c r="CB108" s="11"/>
      <c r="CC108" s="11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Q108" s="49"/>
      <c r="CR108" s="49"/>
      <c r="CS108" s="49"/>
      <c r="CT108" s="49"/>
      <c r="CU108" s="49"/>
      <c r="CV108" s="49"/>
      <c r="CW108" s="49"/>
      <c r="CX108" s="49"/>
      <c r="CY108" s="49"/>
      <c r="CZ108" s="49"/>
      <c r="DA108" s="49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  <c r="DL108" s="49"/>
      <c r="DM108" s="49"/>
      <c r="DN108" s="49"/>
      <c r="DO108" s="49"/>
      <c r="DP108" s="49"/>
      <c r="DQ108" s="49"/>
      <c r="DR108" s="49"/>
      <c r="DS108" s="49"/>
      <c r="DT108" s="49"/>
      <c r="DU108" s="49"/>
      <c r="DV108" s="49"/>
      <c r="DW108" s="49"/>
      <c r="DX108" s="49"/>
      <c r="DY108" s="49"/>
      <c r="DZ108" s="49"/>
      <c r="EA108" s="49"/>
      <c r="EB108" s="49"/>
      <c r="EC108" s="49"/>
      <c r="ED108" s="49"/>
      <c r="EE108" s="49"/>
      <c r="EF108" s="49"/>
      <c r="FA108" s="49"/>
      <c r="FB108" s="49"/>
      <c r="FC108" s="49"/>
      <c r="FD108" s="49"/>
      <c r="FE108" s="49"/>
      <c r="FF108" s="49"/>
      <c r="FG108" s="49"/>
      <c r="FH108" s="49"/>
      <c r="FI108" s="49"/>
      <c r="FJ108" s="49"/>
      <c r="FK108" s="49"/>
      <c r="FL108" s="49"/>
      <c r="FM108" s="49"/>
      <c r="FN108" s="49"/>
      <c r="FO108" s="49"/>
      <c r="FP108" s="49"/>
      <c r="FQ108" s="49"/>
      <c r="FR108" s="49"/>
      <c r="FS108" s="49"/>
      <c r="FT108" s="49"/>
      <c r="FU108" s="49"/>
      <c r="FV108" s="49"/>
      <c r="FW108" s="49"/>
      <c r="FX108" s="49"/>
      <c r="FY108" s="49"/>
      <c r="FZ108" s="49"/>
      <c r="GA108" s="49"/>
      <c r="GB108" s="49"/>
      <c r="GC108" s="49"/>
      <c r="GD108" s="49"/>
      <c r="GE108" s="49"/>
      <c r="GF108" s="49"/>
      <c r="GG108" s="49"/>
      <c r="GH108" s="49"/>
      <c r="GI108" s="49"/>
      <c r="GJ108" s="49"/>
      <c r="GK108" s="49"/>
      <c r="GL108" s="49"/>
      <c r="GM108" s="49"/>
      <c r="GN108" s="49"/>
    </row>
    <row r="109" spans="1:196" ht="14.25" customHeight="1" x14ac:dyDescent="0.2">
      <c r="A109" t="s">
        <v>103</v>
      </c>
      <c r="B109" t="s">
        <v>85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2">
        <f>0.0086</f>
        <v>8.6E-3</v>
      </c>
      <c r="Y109" s="12">
        <f>0.0039</f>
        <v>3.8999999999999998E-3</v>
      </c>
      <c r="Z109" s="12">
        <f>0.0169</f>
        <v>1.6899999999999998E-2</v>
      </c>
      <c r="AA109" s="12">
        <f>0.0024</f>
        <v>2.3999999999999998E-3</v>
      </c>
      <c r="AB109" s="12">
        <f>0.0287</f>
        <v>2.87E-2</v>
      </c>
      <c r="AC109" s="12">
        <f>0.0305</f>
        <v>3.0499999999999999E-2</v>
      </c>
      <c r="AD109" s="12">
        <f>0.0258</f>
        <v>2.58E-2</v>
      </c>
      <c r="AE109" s="12">
        <f>0.0261</f>
        <v>2.6100000000000002E-2</v>
      </c>
      <c r="AF109" s="12">
        <f>0.0112</f>
        <v>1.12E-2</v>
      </c>
      <c r="AG109" s="12">
        <f>0.0363</f>
        <v>3.6299999999999999E-2</v>
      </c>
      <c r="AH109" s="12">
        <f>0.0334</f>
        <v>3.3399999999999999E-2</v>
      </c>
      <c r="AI109" s="12">
        <f>0.0431</f>
        <v>4.3099999999999999E-2</v>
      </c>
      <c r="AJ109" s="12">
        <f>0.0254</f>
        <v>2.5399999999999999E-2</v>
      </c>
      <c r="AK109" s="12">
        <f>0.0458</f>
        <v>4.58E-2</v>
      </c>
      <c r="AL109" s="12">
        <f>0.0545</f>
        <v>5.45E-2</v>
      </c>
      <c r="AM109" s="12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3"/>
      <c r="BU109" s="63"/>
      <c r="BV109" s="16"/>
      <c r="BW109" s="16"/>
      <c r="BX109" s="11"/>
      <c r="BY109" s="11"/>
      <c r="BZ109" s="11"/>
      <c r="CA109" s="11"/>
      <c r="CB109" s="11"/>
      <c r="CC109" s="11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Q109" s="49"/>
      <c r="CR109" s="49"/>
      <c r="CS109" s="49"/>
      <c r="CT109" s="49"/>
      <c r="CU109" s="49"/>
      <c r="CV109" s="49"/>
      <c r="CW109" s="49"/>
      <c r="CX109" s="49"/>
      <c r="CY109" s="49"/>
      <c r="CZ109" s="49"/>
      <c r="DA109" s="49"/>
      <c r="DB109" s="49"/>
      <c r="DC109" s="49"/>
      <c r="DD109" s="49"/>
      <c r="DE109" s="49"/>
      <c r="DF109" s="49"/>
      <c r="DG109" s="49"/>
      <c r="DH109" s="49"/>
      <c r="DI109" s="49"/>
      <c r="DJ109" s="49"/>
      <c r="DK109" s="49"/>
      <c r="DL109" s="49"/>
      <c r="DM109" s="49"/>
      <c r="DN109" s="49"/>
      <c r="DO109" s="49"/>
      <c r="DP109" s="49"/>
      <c r="DQ109" s="49"/>
      <c r="DR109" s="49"/>
      <c r="DS109" s="49"/>
      <c r="DT109" s="49"/>
      <c r="DU109" s="49"/>
      <c r="DV109" s="49"/>
      <c r="DW109" s="49"/>
      <c r="DX109" s="49"/>
      <c r="DY109" s="49"/>
      <c r="DZ109" s="49"/>
      <c r="EA109" s="49"/>
      <c r="EB109" s="49"/>
      <c r="EC109" s="49"/>
      <c r="ED109" s="49"/>
      <c r="EE109" s="49"/>
      <c r="EF109" s="49"/>
      <c r="EG109" s="4" t="s">
        <v>160</v>
      </c>
      <c r="EH109" s="4" t="s">
        <v>160</v>
      </c>
      <c r="EI109" s="4" t="s">
        <v>160</v>
      </c>
      <c r="EJ109" s="4" t="s">
        <v>96</v>
      </c>
      <c r="EK109" s="4" t="s">
        <v>96</v>
      </c>
      <c r="EL109" s="4" t="s">
        <v>96</v>
      </c>
      <c r="EM109" s="4" t="s">
        <v>96</v>
      </c>
      <c r="EN109" s="4" t="s">
        <v>96</v>
      </c>
      <c r="EO109" s="4" t="s">
        <v>97</v>
      </c>
      <c r="EP109" s="4" t="s">
        <v>97</v>
      </c>
      <c r="EQ109" s="4" t="s">
        <v>97</v>
      </c>
      <c r="ER109" s="4" t="s">
        <v>97</v>
      </c>
      <c r="ES109" s="4" t="s">
        <v>180</v>
      </c>
      <c r="ET109" s="4" t="s">
        <v>180</v>
      </c>
      <c r="EU109" s="4" t="s">
        <v>180</v>
      </c>
      <c r="EV109" s="4" t="s">
        <v>113</v>
      </c>
      <c r="EW109" s="4" t="s">
        <v>114</v>
      </c>
      <c r="EX109" s="4" t="s">
        <v>114</v>
      </c>
      <c r="EY109" s="4" t="s">
        <v>114</v>
      </c>
      <c r="EZ109" s="4" t="s">
        <v>114</v>
      </c>
      <c r="FA109" s="49"/>
      <c r="FB109" s="49"/>
      <c r="FC109" s="49"/>
      <c r="FD109" s="49"/>
      <c r="FE109" s="49"/>
      <c r="FF109" s="49"/>
      <c r="FG109" s="49"/>
      <c r="FH109" s="49"/>
      <c r="FI109" s="49"/>
      <c r="FJ109" s="49"/>
      <c r="FK109" s="49"/>
      <c r="FL109" s="49"/>
      <c r="FM109" s="49"/>
      <c r="FN109" s="49"/>
      <c r="FO109" s="49"/>
      <c r="FP109" s="49"/>
      <c r="FQ109" s="49"/>
      <c r="FR109" s="49"/>
      <c r="FS109" s="49"/>
      <c r="FT109" s="49"/>
      <c r="FU109" s="49"/>
      <c r="FV109" s="49"/>
      <c r="FW109" s="49"/>
      <c r="FX109" s="49"/>
      <c r="FY109" s="49"/>
      <c r="FZ109" s="49"/>
      <c r="GA109" s="49"/>
      <c r="GB109" s="49"/>
      <c r="GC109" s="49"/>
      <c r="GD109" s="49"/>
      <c r="GE109" s="49"/>
      <c r="GF109" s="49"/>
      <c r="GG109" s="49"/>
      <c r="GH109" s="49"/>
      <c r="GI109" s="49"/>
      <c r="GJ109" s="49"/>
      <c r="GK109" s="49"/>
      <c r="GL109" s="49"/>
      <c r="GM109" s="49"/>
      <c r="GN109" s="49"/>
    </row>
    <row r="110" spans="1:196" ht="14.25" customHeight="1" x14ac:dyDescent="0.2">
      <c r="A110" t="s">
        <v>181</v>
      </c>
      <c r="B110" t="s">
        <v>85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28">
        <f t="shared" ref="X110:BG110" si="38">X21</f>
        <v>0.47899999999999998</v>
      </c>
      <c r="Y110" s="28">
        <f t="shared" si="38"/>
        <v>0.30470000000000003</v>
      </c>
      <c r="Z110" s="28">
        <f t="shared" si="38"/>
        <v>0.4214</v>
      </c>
      <c r="AA110" s="28">
        <f t="shared" si="38"/>
        <v>0.40860000000000002</v>
      </c>
      <c r="AB110" s="28">
        <f t="shared" si="38"/>
        <v>0.2087</v>
      </c>
      <c r="AC110" s="28">
        <f t="shared" si="38"/>
        <v>0.28989999999999999</v>
      </c>
      <c r="AD110" s="28">
        <f t="shared" si="38"/>
        <v>0.4551</v>
      </c>
      <c r="AE110" s="28">
        <f t="shared" si="38"/>
        <v>0.42759999999999998</v>
      </c>
      <c r="AF110" s="28">
        <f t="shared" si="38"/>
        <v>0.33850000000000002</v>
      </c>
      <c r="AG110" s="28">
        <f t="shared" si="38"/>
        <v>0.2452</v>
      </c>
      <c r="AH110" s="28">
        <f t="shared" si="38"/>
        <v>0.43790000000000001</v>
      </c>
      <c r="AI110" s="28">
        <f t="shared" si="38"/>
        <v>0.38919999999999999</v>
      </c>
      <c r="AJ110" s="28">
        <f t="shared" si="38"/>
        <v>0.4032</v>
      </c>
      <c r="AK110" s="28">
        <f t="shared" si="38"/>
        <v>0.46800000000000003</v>
      </c>
      <c r="AL110" s="28">
        <f t="shared" si="38"/>
        <v>0.58699999999999997</v>
      </c>
      <c r="AM110" s="28">
        <f t="shared" si="38"/>
        <v>0.56230000000000002</v>
      </c>
      <c r="AN110" s="28">
        <f t="shared" si="38"/>
        <v>0.37240000000000001</v>
      </c>
      <c r="AO110" s="28">
        <f t="shared" si="38"/>
        <v>0.51900000000000002</v>
      </c>
      <c r="AP110" s="28">
        <f t="shared" si="38"/>
        <v>0.44379999999999997</v>
      </c>
      <c r="AQ110" s="28">
        <f t="shared" si="38"/>
        <v>0.34179999999999999</v>
      </c>
      <c r="AR110" s="28">
        <f t="shared" si="38"/>
        <v>0.4274</v>
      </c>
      <c r="AS110" s="28">
        <f t="shared" si="38"/>
        <v>0.3659</v>
      </c>
      <c r="AT110" s="28">
        <f t="shared" si="38"/>
        <v>0.42399999999999999</v>
      </c>
      <c r="AU110" s="28">
        <f t="shared" si="38"/>
        <v>0.42749999999999999</v>
      </c>
      <c r="AV110" s="28">
        <f t="shared" si="38"/>
        <v>0.28399999999999997</v>
      </c>
      <c r="AW110" s="28">
        <f t="shared" si="38"/>
        <v>0.48099999999999998</v>
      </c>
      <c r="AX110" s="28">
        <f t="shared" si="38"/>
        <v>0.28399999999999997</v>
      </c>
      <c r="AY110" s="28">
        <f t="shared" si="38"/>
        <v>3.4000000000000002E-2</v>
      </c>
      <c r="AZ110" s="28">
        <f t="shared" si="38"/>
        <v>0.32400000000000001</v>
      </c>
      <c r="BA110" s="28">
        <f t="shared" si="38"/>
        <v>0.14199999999999999</v>
      </c>
      <c r="BB110" s="28">
        <f t="shared" si="38"/>
        <v>0.249</v>
      </c>
      <c r="BC110" s="28">
        <f t="shared" si="38"/>
        <v>0.39600000000000002</v>
      </c>
      <c r="BD110" s="28">
        <f t="shared" si="38"/>
        <v>0.24399999999999999</v>
      </c>
      <c r="BE110" s="28">
        <f t="shared" si="38"/>
        <v>0.29799999999999999</v>
      </c>
      <c r="BF110" s="28">
        <f t="shared" si="38"/>
        <v>0.26900000000000002</v>
      </c>
      <c r="BG110" s="28">
        <f t="shared" si="38"/>
        <v>0.41299999999999998</v>
      </c>
      <c r="BI110" s="68"/>
      <c r="BJ110" s="68"/>
      <c r="BK110" s="68"/>
      <c r="BL110" s="68"/>
      <c r="BM110" s="68"/>
      <c r="BN110" s="68"/>
      <c r="BO110" s="83"/>
      <c r="BP110" s="83"/>
      <c r="BQ110" s="83"/>
      <c r="BR110" s="83"/>
      <c r="BS110" s="83"/>
      <c r="BT110" s="68"/>
      <c r="BU110" s="68"/>
      <c r="BV110" s="16"/>
      <c r="BW110" s="16"/>
      <c r="BX110" s="11"/>
      <c r="BY110" s="11"/>
      <c r="BZ110" s="11"/>
      <c r="CA110" s="11"/>
      <c r="CB110" s="11"/>
      <c r="CC110" s="11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49"/>
      <c r="DH110" s="49"/>
      <c r="DI110" s="49"/>
      <c r="DJ110" s="49"/>
      <c r="DK110" s="49"/>
      <c r="DL110" s="49"/>
      <c r="DM110" s="49"/>
      <c r="DN110" s="49"/>
      <c r="DO110" s="49"/>
      <c r="DP110" s="49"/>
      <c r="DQ110" s="49"/>
      <c r="DR110" s="49"/>
      <c r="DS110" s="49"/>
      <c r="DT110" s="49"/>
      <c r="DU110" s="49"/>
      <c r="DV110" s="49"/>
      <c r="DW110" s="49"/>
      <c r="DX110" s="49"/>
      <c r="DY110" s="49"/>
      <c r="DZ110" s="49"/>
      <c r="EA110" s="49"/>
      <c r="EB110" s="49"/>
      <c r="EC110" s="49"/>
      <c r="ED110" s="49"/>
      <c r="EE110" s="49"/>
      <c r="EF110" s="49"/>
      <c r="EG110" s="49"/>
      <c r="EH110" s="49"/>
      <c r="EI110" s="49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49"/>
      <c r="FE110" s="49"/>
      <c r="FF110" s="49"/>
      <c r="FG110" s="49"/>
      <c r="FH110" s="49"/>
      <c r="FI110" s="49"/>
      <c r="FJ110" s="49"/>
      <c r="FK110" s="49"/>
      <c r="FL110" s="49"/>
      <c r="FM110" s="49"/>
      <c r="FN110" s="49"/>
      <c r="FO110" s="49"/>
      <c r="FP110" s="49"/>
      <c r="FQ110" s="49"/>
      <c r="FR110" s="49"/>
      <c r="FS110" s="49"/>
      <c r="FT110" s="49"/>
      <c r="FU110" s="49"/>
      <c r="FV110" s="49"/>
      <c r="FW110" s="49"/>
      <c r="FX110" s="49"/>
      <c r="FY110" s="49"/>
      <c r="FZ110" s="49"/>
      <c r="GA110" s="49"/>
      <c r="GB110" s="49"/>
      <c r="GC110" s="49"/>
      <c r="GD110" s="49"/>
      <c r="GE110" s="49"/>
      <c r="GF110" s="49"/>
      <c r="GG110" s="49"/>
      <c r="GH110" s="49"/>
      <c r="GI110" s="49"/>
      <c r="GJ110" s="49"/>
      <c r="GK110" s="49"/>
      <c r="GL110" s="49"/>
      <c r="GM110" s="49"/>
      <c r="GN110" s="49"/>
    </row>
    <row r="111" spans="1:196" ht="14.25" customHeight="1" x14ac:dyDescent="0.2"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84">
        <f t="shared" ref="X111:BG111" si="39">X113*0.51+X115*X41+X118*0.233</f>
        <v>0.47900000000000004</v>
      </c>
      <c r="Y111" s="84">
        <f t="shared" si="39"/>
        <v>0.30469999999999997</v>
      </c>
      <c r="Z111" s="84">
        <f t="shared" si="39"/>
        <v>0.4214</v>
      </c>
      <c r="AA111" s="84">
        <f t="shared" si="39"/>
        <v>0.40860000000000002</v>
      </c>
      <c r="AB111" s="84">
        <f t="shared" si="39"/>
        <v>0.2087</v>
      </c>
      <c r="AC111" s="84">
        <f t="shared" si="39"/>
        <v>0.28989999999999994</v>
      </c>
      <c r="AD111" s="84">
        <f t="shared" si="39"/>
        <v>0.4551</v>
      </c>
      <c r="AE111" s="84">
        <f t="shared" si="39"/>
        <v>0.42760000000000004</v>
      </c>
      <c r="AF111" s="84">
        <f t="shared" si="39"/>
        <v>0.33849999999999997</v>
      </c>
      <c r="AG111" s="84">
        <f t="shared" si="39"/>
        <v>0.2452</v>
      </c>
      <c r="AH111" s="84">
        <f t="shared" si="39"/>
        <v>0.43789999999999996</v>
      </c>
      <c r="AI111" s="84">
        <f t="shared" si="39"/>
        <v>0.38919999999999999</v>
      </c>
      <c r="AJ111" s="84">
        <f t="shared" si="39"/>
        <v>0.4032</v>
      </c>
      <c r="AK111" s="84">
        <f t="shared" si="39"/>
        <v>0.46800000000000003</v>
      </c>
      <c r="AL111" s="84">
        <f t="shared" si="39"/>
        <v>0.58699999999999997</v>
      </c>
      <c r="AM111" s="84">
        <f t="shared" si="39"/>
        <v>0.55531944889267471</v>
      </c>
      <c r="AN111" s="84">
        <f t="shared" si="39"/>
        <v>0.36844901073323466</v>
      </c>
      <c r="AO111" s="84">
        <f t="shared" si="39"/>
        <v>0.51199183134582626</v>
      </c>
      <c r="AP111" s="84">
        <f t="shared" si="39"/>
        <v>0.42876999999999998</v>
      </c>
      <c r="AQ111" s="84">
        <f t="shared" si="39"/>
        <v>0.33076000000000005</v>
      </c>
      <c r="AR111" s="84">
        <f t="shared" si="39"/>
        <v>0.42599999999999999</v>
      </c>
      <c r="AS111" s="84">
        <f t="shared" si="39"/>
        <v>0.36615000000000003</v>
      </c>
      <c r="AT111" s="84">
        <f t="shared" si="39"/>
        <v>0.41596</v>
      </c>
      <c r="AU111" s="84">
        <f t="shared" si="39"/>
        <v>0.41596</v>
      </c>
      <c r="AV111" s="84">
        <f t="shared" si="39"/>
        <v>0.28845999999999999</v>
      </c>
      <c r="AW111" s="84">
        <f t="shared" si="39"/>
        <v>0.47860999999999998</v>
      </c>
      <c r="AX111" s="84">
        <f t="shared" si="39"/>
        <v>0.27461000000000002</v>
      </c>
      <c r="AY111" s="84">
        <f t="shared" si="39"/>
        <v>0.12161</v>
      </c>
      <c r="AZ111" s="84">
        <f t="shared" si="39"/>
        <v>0.32561000000000007</v>
      </c>
      <c r="BA111" s="84">
        <f t="shared" si="39"/>
        <v>0.12161</v>
      </c>
      <c r="BB111" s="84">
        <f t="shared" si="39"/>
        <v>0.27461000000000002</v>
      </c>
      <c r="BC111" s="84">
        <f t="shared" si="39"/>
        <v>0.37661</v>
      </c>
      <c r="BD111" s="84">
        <f t="shared" si="39"/>
        <v>0</v>
      </c>
      <c r="BE111" s="84">
        <f t="shared" si="39"/>
        <v>0</v>
      </c>
      <c r="BF111" s="84">
        <f t="shared" si="39"/>
        <v>0</v>
      </c>
      <c r="BG111" s="84">
        <f t="shared" si="39"/>
        <v>0</v>
      </c>
      <c r="BH111" s="11"/>
      <c r="BJ111" s="13"/>
      <c r="BK111" s="16"/>
      <c r="BL111" s="13"/>
      <c r="BM111" s="16"/>
      <c r="BN111" s="13"/>
      <c r="BO111" s="83"/>
      <c r="BP111" s="83"/>
      <c r="BQ111" s="83"/>
      <c r="BR111" s="83"/>
      <c r="BS111" s="83"/>
      <c r="BT111" s="16"/>
      <c r="BU111" s="16"/>
      <c r="BV111" s="16"/>
      <c r="BW111" s="16"/>
      <c r="BX111" s="11"/>
      <c r="BY111" s="11"/>
      <c r="BZ111" s="11"/>
      <c r="CA111" s="11"/>
      <c r="CB111" s="11"/>
      <c r="CC111" s="11"/>
      <c r="CE111" s="49"/>
      <c r="CF111" s="49"/>
      <c r="CG111" s="49"/>
      <c r="CH111" s="49"/>
      <c r="CI111" s="49"/>
      <c r="CJ111" s="49"/>
      <c r="CK111" s="49"/>
      <c r="CL111" s="24"/>
      <c r="CM111" s="24"/>
      <c r="CN111" s="24"/>
      <c r="CO111" s="24"/>
      <c r="CX111" s="11"/>
      <c r="CY111" s="16"/>
      <c r="CZ111" s="16"/>
      <c r="DA111" s="16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</row>
    <row r="112" spans="1:196" x14ac:dyDescent="0.2">
      <c r="A112" s="1" t="s">
        <v>182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68"/>
      <c r="BJ112" s="68"/>
      <c r="BK112" s="68"/>
      <c r="BL112" s="68"/>
      <c r="BM112" s="68"/>
      <c r="BN112" s="68"/>
      <c r="BT112" s="63"/>
      <c r="BU112" s="63"/>
      <c r="BX112" s="11"/>
      <c r="BY112" s="11"/>
      <c r="BZ112" s="11"/>
      <c r="CA112" s="11"/>
      <c r="CB112" s="11"/>
      <c r="CC112" s="11"/>
      <c r="CE112" s="11"/>
      <c r="CF112" s="11"/>
      <c r="CG112" s="11"/>
      <c r="CH112" s="11"/>
      <c r="CI112" s="11"/>
      <c r="CJ112" s="11"/>
      <c r="CK112" s="11"/>
      <c r="CL112" s="24"/>
      <c r="CM112" s="24"/>
      <c r="CN112" s="24"/>
      <c r="CO112" s="24"/>
      <c r="CX112" s="4"/>
      <c r="CY112" s="4"/>
      <c r="CZ112" s="16"/>
      <c r="DA112" s="16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</row>
    <row r="113" spans="1:168" x14ac:dyDescent="0.2">
      <c r="A113" t="s">
        <v>98</v>
      </c>
      <c r="B113" t="s">
        <v>85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28">
        <f t="shared" ref="X113:AL113" si="40">X104/X35</f>
        <v>0.75882352941176467</v>
      </c>
      <c r="Y113" s="28">
        <f t="shared" si="40"/>
        <v>0.5084313725490196</v>
      </c>
      <c r="Z113" s="28">
        <f t="shared" si="40"/>
        <v>0.67156862745098045</v>
      </c>
      <c r="AA113" s="28">
        <f t="shared" si="40"/>
        <v>0.60941176470588243</v>
      </c>
      <c r="AB113" s="28">
        <f t="shared" si="40"/>
        <v>0.22450980392156863</v>
      </c>
      <c r="AC113" s="28">
        <f t="shared" si="40"/>
        <v>0.3792156862745098</v>
      </c>
      <c r="AD113" s="28">
        <f t="shared" si="40"/>
        <v>0.70137254901960788</v>
      </c>
      <c r="AE113" s="28">
        <f t="shared" si="40"/>
        <v>0.6284313725490196</v>
      </c>
      <c r="AF113" s="28">
        <f t="shared" si="40"/>
        <v>0.51627450980392153</v>
      </c>
      <c r="AG113" s="28">
        <f t="shared" si="40"/>
        <v>0.28470588235294114</v>
      </c>
      <c r="AH113" s="28">
        <f t="shared" si="40"/>
        <v>0.63372549019607838</v>
      </c>
      <c r="AI113" s="28">
        <f t="shared" si="40"/>
        <v>0.43705882352941172</v>
      </c>
      <c r="AJ113" s="28">
        <f t="shared" si="40"/>
        <v>0.51588235294117646</v>
      </c>
      <c r="AK113" s="28">
        <f t="shared" si="40"/>
        <v>0.66666666666666674</v>
      </c>
      <c r="AL113" s="28">
        <f t="shared" si="40"/>
        <v>0.84254901960784312</v>
      </c>
      <c r="AM113" s="66">
        <f>SourcedData!AS62</f>
        <v>0.69</v>
      </c>
      <c r="AN113" s="28">
        <f>AM113/AM$110*AN$110</f>
        <v>0.4569731460074693</v>
      </c>
      <c r="AO113" s="66">
        <f>SourcedData!AU62</f>
        <v>0.69</v>
      </c>
      <c r="AP113" s="66">
        <f>SourcedData!AV62</f>
        <v>0.51</v>
      </c>
      <c r="AQ113" s="66">
        <f>SourcedData!AW62</f>
        <v>0.39</v>
      </c>
      <c r="AR113" s="66">
        <f>SourcedData!AX62</f>
        <v>0.5</v>
      </c>
      <c r="AS113" s="66">
        <f>SourcedData!AY62</f>
        <v>0.4</v>
      </c>
      <c r="AT113" s="91">
        <f>SourcedData!AZ62</f>
        <v>0.6</v>
      </c>
      <c r="AU113" s="91">
        <f>SourcedData!BA62</f>
        <v>0.6</v>
      </c>
      <c r="AV113" s="91">
        <f>SourcedData!BB62</f>
        <v>0.35</v>
      </c>
      <c r="AW113" s="91">
        <f>SourcedData!BC62</f>
        <v>0.7</v>
      </c>
      <c r="AX113" s="91">
        <f>SourcedData!BD62</f>
        <v>0.3</v>
      </c>
      <c r="AY113" s="91">
        <f>SourcedData!BE62</f>
        <v>0</v>
      </c>
      <c r="AZ113" s="91">
        <f>SourcedData!BF62</f>
        <v>0.4</v>
      </c>
      <c r="BA113" s="91">
        <f>SourcedData!BG62</f>
        <v>0</v>
      </c>
      <c r="BB113" s="91">
        <f>SourcedData!BH62</f>
        <v>0.3</v>
      </c>
      <c r="BC113" s="91">
        <f>SourcedData!BI62</f>
        <v>0.5</v>
      </c>
      <c r="BD113" s="91"/>
      <c r="BE113" s="91"/>
      <c r="BF113" s="91"/>
      <c r="BG113" s="91"/>
      <c r="BI113" s="68"/>
      <c r="BJ113" s="68">
        <f>SourcedData!BO62</f>
        <v>3.5292159999999999</v>
      </c>
      <c r="BK113" s="68">
        <f>SourcedData!BP62</f>
        <v>3.2860610000000001</v>
      </c>
      <c r="BL113" s="68"/>
      <c r="BM113" s="68">
        <f>SourcedData!BR62</f>
        <v>3.249844</v>
      </c>
      <c r="BN113" s="68">
        <f>SourcedData!BS62</f>
        <v>3.0873460000000001</v>
      </c>
      <c r="BO113" s="68">
        <f>SourcedData!BT62</f>
        <v>1.8580589999999999</v>
      </c>
      <c r="BP113" s="68">
        <f>SourcedData!BU62</f>
        <v>2.152145</v>
      </c>
      <c r="BQ113" s="68">
        <f>SourcedData!BV62</f>
        <v>2.2535050000000001</v>
      </c>
      <c r="BR113" s="63">
        <f>SourcedData!BW62</f>
        <v>2.6819860000000002</v>
      </c>
      <c r="BS113" s="63">
        <f>SourcedData!BX62</f>
        <v>1.7374160000000001</v>
      </c>
      <c r="BT113" s="63">
        <f>SourcedData!BY62</f>
        <v>2.2347869999999999</v>
      </c>
      <c r="BU113" s="63">
        <f>SourcedData!BZ62</f>
        <v>1.7125440000000001</v>
      </c>
      <c r="BV113" s="63">
        <f>SourcedData!CA62</f>
        <v>1.4511449999999999</v>
      </c>
      <c r="BW113" s="99"/>
      <c r="BX113" s="11"/>
      <c r="BY113" s="11"/>
      <c r="BZ113" s="11"/>
      <c r="CA113" s="11"/>
      <c r="CB113" s="11"/>
      <c r="CC113" s="11"/>
      <c r="CJ113" s="71">
        <f ca="1">SUMIF($D$7:$BH$7,CJ$8,$D113:$AN113)</f>
        <v>2.5482352941176472</v>
      </c>
      <c r="CK113" s="71">
        <f ca="1">SUMIF($D$7:$BH$7,CK$8,$D113:$AN113)</f>
        <v>1.9335294117647059</v>
      </c>
      <c r="CL113" s="71">
        <f ca="1">SUMIF($D$7:$BH$7,CL$8,$D113:$AN113)</f>
        <v>1.8717647058823528</v>
      </c>
      <c r="CM113" s="71">
        <f ca="1">SUMIF($D$7:$BH$7,CM$8,$D113:$AN113)</f>
        <v>2.7150980392156865</v>
      </c>
      <c r="CN113" s="71">
        <f>SUMIF($D$7:$BH$7,CN$8,$D113:$BH113)</f>
        <v>2.0469731460074692</v>
      </c>
      <c r="CO113" s="71">
        <f>SUMIF($D$7:$BH$7,CO$8,$D113:$BH113)</f>
        <v>2.1</v>
      </c>
      <c r="CP113" s="71">
        <f>SUMIF($D$7:$BH$7,CP$8,$D113:$BH113)</f>
        <v>1.3499999999999999</v>
      </c>
      <c r="CQ113" s="71">
        <f>SUMIF($D$7:$BH$7,CQ$8,$D113:$BH113)</f>
        <v>1.2</v>
      </c>
      <c r="CS113" t="s">
        <v>183</v>
      </c>
      <c r="CX113" s="4" t="s">
        <v>137</v>
      </c>
      <c r="CY113" s="4" t="s">
        <v>137</v>
      </c>
      <c r="CZ113" s="16"/>
      <c r="DA113" s="4" t="s">
        <v>138</v>
      </c>
      <c r="DB113" s="4" t="s">
        <v>138</v>
      </c>
      <c r="DC113" s="4" t="s">
        <v>140</v>
      </c>
      <c r="DD113" s="4" t="s">
        <v>140</v>
      </c>
      <c r="DE113" s="4" t="s">
        <v>140</v>
      </c>
      <c r="DF113" s="4" t="s">
        <v>140</v>
      </c>
      <c r="DG113" s="4" t="s">
        <v>140</v>
      </c>
      <c r="DH113" s="4" t="s">
        <v>141</v>
      </c>
      <c r="DI113" s="4" t="s">
        <v>142</v>
      </c>
      <c r="DJ113" s="4" t="s">
        <v>143</v>
      </c>
      <c r="DK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</row>
    <row r="114" spans="1:168" x14ac:dyDescent="0.2">
      <c r="A114" t="s">
        <v>144</v>
      </c>
      <c r="B114" t="s">
        <v>85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68"/>
      <c r="BJ114" s="68">
        <f>SourcedData!BO63</f>
        <v>6.8104779999999998</v>
      </c>
      <c r="BK114" s="68">
        <f>SourcedData!BP63</f>
        <v>6.5149679999999996</v>
      </c>
      <c r="BL114" s="68"/>
      <c r="BM114" s="68">
        <f>SourcedData!BR63</f>
        <v>7.8374940000000004</v>
      </c>
      <c r="BN114" s="68">
        <f>SourcedData!BS63</f>
        <v>8.3942990000000002</v>
      </c>
      <c r="BO114" s="68"/>
      <c r="BP114" s="68"/>
      <c r="BQ114" s="68"/>
      <c r="BR114" s="63"/>
      <c r="BS114" s="63"/>
      <c r="BT114" s="63"/>
      <c r="BU114" s="63"/>
      <c r="BX114" s="11"/>
      <c r="BY114" s="11"/>
      <c r="BZ114" s="11"/>
      <c r="CA114" s="11"/>
      <c r="CB114" s="11"/>
      <c r="CC114" s="11"/>
      <c r="CJ114" s="72"/>
      <c r="CK114" s="72"/>
      <c r="CL114" s="73"/>
      <c r="CM114" s="73"/>
      <c r="CN114" s="73"/>
      <c r="CO114" s="92"/>
      <c r="CS114" t="s">
        <v>168</v>
      </c>
      <c r="CX114" s="4" t="s">
        <v>137</v>
      </c>
      <c r="CY114" s="4" t="s">
        <v>137</v>
      </c>
      <c r="CZ114" s="16"/>
      <c r="DA114" s="4" t="s">
        <v>138</v>
      </c>
      <c r="DB114" s="4" t="s">
        <v>138</v>
      </c>
      <c r="DC114" s="4"/>
      <c r="DD114" s="4"/>
      <c r="DE114" s="4"/>
      <c r="DF114" s="4"/>
      <c r="DG114" s="4"/>
      <c r="DH114" s="4"/>
      <c r="DI114" s="4"/>
      <c r="DJ114" s="4"/>
      <c r="DK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</row>
    <row r="115" spans="1:168" ht="14.25" customHeight="1" x14ac:dyDescent="0.2">
      <c r="A115" s="11" t="s">
        <v>146</v>
      </c>
      <c r="B115" s="11" t="s">
        <v>85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28">
        <f t="shared" ref="X115:AL115" si="41">X106/X41</f>
        <v>0.10610687022900764</v>
      </c>
      <c r="Y115" s="28">
        <f t="shared" si="41"/>
        <v>5.2798982188295165E-2</v>
      </c>
      <c r="Z115" s="28">
        <f t="shared" si="41"/>
        <v>7.8880407124681931E-2</v>
      </c>
      <c r="AA115" s="28">
        <f t="shared" si="41"/>
        <v>0.12137404580152671</v>
      </c>
      <c r="AB115" s="28">
        <f t="shared" si="41"/>
        <v>8.4082156611039793E-2</v>
      </c>
      <c r="AC115" s="28">
        <f t="shared" si="41"/>
        <v>8.4724005134788186E-2</v>
      </c>
      <c r="AD115" s="28">
        <f t="shared" si="41"/>
        <v>9.1912708600770207E-2</v>
      </c>
      <c r="AE115" s="28">
        <f t="shared" si="41"/>
        <v>0.10397946084724005</v>
      </c>
      <c r="AF115" s="28">
        <f t="shared" si="41"/>
        <v>8.1841432225063931E-2</v>
      </c>
      <c r="AG115" s="28">
        <f t="shared" si="41"/>
        <v>8.1457800511508957E-2</v>
      </c>
      <c r="AH115" s="28">
        <f t="shared" si="41"/>
        <v>0.10396419437340153</v>
      </c>
      <c r="AI115" s="28">
        <f t="shared" si="41"/>
        <v>0.15754475703324808</v>
      </c>
      <c r="AJ115" s="28">
        <f t="shared" si="41"/>
        <v>0.14592875318066156</v>
      </c>
      <c r="AK115" s="28">
        <f t="shared" si="41"/>
        <v>0.10458015267175572</v>
      </c>
      <c r="AL115" s="28">
        <f t="shared" si="41"/>
        <v>0.13078880407124682</v>
      </c>
      <c r="AM115" s="66">
        <f>AL115/AL$110*AM$110*1.35</f>
        <v>0.16913532387479357</v>
      </c>
      <c r="AN115" s="28">
        <f>AM115/AM$110*AN$110</f>
        <v>0.11201492906095167</v>
      </c>
      <c r="AO115" s="66">
        <f>SourcedData!AU64</f>
        <v>0.12</v>
      </c>
      <c r="AP115" s="66">
        <f>SourcedData!AV64</f>
        <v>0.11</v>
      </c>
      <c r="AQ115" s="66">
        <f>SourcedData!AW64</f>
        <v>0.09</v>
      </c>
      <c r="AR115" s="66">
        <f>SourcedData!AX64</f>
        <v>0.11</v>
      </c>
      <c r="AS115" s="66">
        <f>SourcedData!AY64</f>
        <v>0.09</v>
      </c>
      <c r="AT115" s="91">
        <f>SourcedData!AZ64</f>
        <v>0.08</v>
      </c>
      <c r="AU115" s="91">
        <f>SourcedData!BA64</f>
        <v>0.08</v>
      </c>
      <c r="AV115" s="91">
        <f>SourcedData!BB64</f>
        <v>0.08</v>
      </c>
      <c r="AW115" s="91">
        <f>SourcedData!BC64</f>
        <v>0.08</v>
      </c>
      <c r="AX115" s="91">
        <f>SourcedData!BD64</f>
        <v>0.08</v>
      </c>
      <c r="AY115" s="91">
        <f>SourcedData!BE64</f>
        <v>0.08</v>
      </c>
      <c r="AZ115" s="91">
        <f>SourcedData!BF64</f>
        <v>0.08</v>
      </c>
      <c r="BA115" s="91">
        <f>SourcedData!BG64</f>
        <v>0.08</v>
      </c>
      <c r="BB115" s="91">
        <f>SourcedData!BH64</f>
        <v>0.08</v>
      </c>
      <c r="BC115" s="91">
        <f>SourcedData!BI64</f>
        <v>0.08</v>
      </c>
      <c r="BD115" s="91"/>
      <c r="BE115" s="91"/>
      <c r="BF115" s="91"/>
      <c r="BG115" s="91"/>
      <c r="BH115" s="11"/>
      <c r="BI115" s="70"/>
      <c r="BJ115" s="68"/>
      <c r="BK115" s="68"/>
      <c r="BL115" s="68"/>
      <c r="BM115" s="68">
        <f>SourcedData!BR64</f>
        <v>0.57729799999999998</v>
      </c>
      <c r="BN115" s="68">
        <f>SourcedData!BS64</f>
        <v>0.35175499999999998</v>
      </c>
      <c r="BO115" s="68">
        <f>SourcedData!BT64</f>
        <v>0.41268700000000003</v>
      </c>
      <c r="BP115" s="68">
        <f>SourcedData!BU64</f>
        <v>0.40041100000000002</v>
      </c>
      <c r="BQ115" s="68">
        <f>SourcedData!BV64</f>
        <v>0.57342800000000005</v>
      </c>
      <c r="BR115" s="63">
        <f>SourcedData!BW64</f>
        <v>0.52522199999999997</v>
      </c>
      <c r="BS115" s="63">
        <f>SourcedData!BX64</f>
        <v>0.39426</v>
      </c>
      <c r="BT115" s="63">
        <f>SourcedData!BY64/10^6</f>
        <v>0.401758</v>
      </c>
      <c r="BU115" s="63">
        <f>SourcedData!BZ64</f>
        <v>0.33975100000000003</v>
      </c>
      <c r="BV115" s="63">
        <f>SourcedData!CA64</f>
        <v>0.54031899999999999</v>
      </c>
      <c r="BW115" s="101"/>
      <c r="BX115" s="11"/>
      <c r="BY115" s="11"/>
      <c r="BZ115" s="11"/>
      <c r="CA115" s="11"/>
      <c r="CB115" s="11"/>
      <c r="CC115" s="11"/>
      <c r="CH115" s="11"/>
      <c r="CI115" s="11"/>
      <c r="CJ115" s="71">
        <f t="shared" ref="CJ115:CQ115" si="42">SUMIF($D$7:$BH$7,CJ$8,$D115:$BH115)</f>
        <v>0.35916030534351145</v>
      </c>
      <c r="CK115" s="71">
        <f t="shared" si="42"/>
        <v>0.36469833119383821</v>
      </c>
      <c r="CL115" s="71">
        <f t="shared" si="42"/>
        <v>0.42480818414322252</v>
      </c>
      <c r="CM115" s="71">
        <f t="shared" si="42"/>
        <v>0.55043303379845765</v>
      </c>
      <c r="CN115" s="71">
        <f t="shared" si="42"/>
        <v>0.43201492906095162</v>
      </c>
      <c r="CO115" s="71">
        <f t="shared" si="42"/>
        <v>0.36000000000000004</v>
      </c>
      <c r="CP115" s="71">
        <f t="shared" si="42"/>
        <v>0.32</v>
      </c>
      <c r="CQ115" s="71">
        <f t="shared" si="42"/>
        <v>0.32</v>
      </c>
      <c r="CS115" t="s">
        <v>183</v>
      </c>
      <c r="CY115" s="13"/>
      <c r="CZ115" s="13"/>
      <c r="DA115" s="4" t="s">
        <v>138</v>
      </c>
      <c r="DB115" s="4" t="s">
        <v>138</v>
      </c>
      <c r="DC115" s="4" t="s">
        <v>140</v>
      </c>
      <c r="DD115" s="4" t="s">
        <v>140</v>
      </c>
      <c r="DE115" s="4" t="s">
        <v>140</v>
      </c>
      <c r="DF115" s="4" t="s">
        <v>140</v>
      </c>
      <c r="DG115" s="4" t="s">
        <v>140</v>
      </c>
      <c r="DH115" s="4" t="s">
        <v>141</v>
      </c>
      <c r="DI115" s="4" t="s">
        <v>142</v>
      </c>
      <c r="DJ115" s="4" t="s">
        <v>143</v>
      </c>
      <c r="DK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</row>
    <row r="116" spans="1:168" x14ac:dyDescent="0.2">
      <c r="A116" t="s">
        <v>128</v>
      </c>
      <c r="B116" t="s">
        <v>85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1"/>
      <c r="BI116" s="68"/>
      <c r="BJ116" s="68">
        <f>SourcedData!BO65</f>
        <v>0.463779</v>
      </c>
      <c r="BK116" s="68">
        <f>SourcedData!BP65</f>
        <v>0.205626</v>
      </c>
      <c r="BL116" s="68"/>
      <c r="BM116" s="68">
        <f>SourcedData!BR65</f>
        <v>0.49845099999999998</v>
      </c>
      <c r="BN116" s="68">
        <f>SourcedData!BS65</f>
        <v>0.22071099999999999</v>
      </c>
      <c r="BO116" s="68">
        <f>SourcedData!BT65</f>
        <v>0.40699999999999997</v>
      </c>
      <c r="BP116" s="68">
        <f>SourcedData!BU65</f>
        <v>0.24399999999999999</v>
      </c>
      <c r="BQ116" s="68">
        <f>SourcedData!BV65</f>
        <v>0.82657000000000003</v>
      </c>
      <c r="BR116" s="63">
        <f>SourcedData!BW65</f>
        <v>0.71848999999999996</v>
      </c>
      <c r="BS116" s="63">
        <f>SourcedData!BX65</f>
        <v>0.43811600000000001</v>
      </c>
      <c r="BT116" s="63">
        <f>SourcedData!BY65</f>
        <v>0</v>
      </c>
      <c r="BU116" s="63">
        <f>SourcedData!BZ65</f>
        <v>0</v>
      </c>
      <c r="BX116" s="11"/>
      <c r="BY116" s="11"/>
      <c r="BZ116" s="11"/>
      <c r="CA116" s="11"/>
      <c r="CB116" s="11"/>
      <c r="CC116" s="11"/>
      <c r="CE116" s="7"/>
      <c r="CF116" s="7"/>
      <c r="CG116" s="7"/>
      <c r="CH116" s="7"/>
      <c r="CI116" s="7"/>
      <c r="CJ116" s="71">
        <f t="shared" ref="CJ116:CQ116" si="43">CJ118-CJ117</f>
        <v>0.13648068669527894</v>
      </c>
      <c r="CK116" s="71">
        <f t="shared" si="43"/>
        <v>5.5824034334763906E-2</v>
      </c>
      <c r="CL116" s="71">
        <f t="shared" si="43"/>
        <v>0.10559934120171677</v>
      </c>
      <c r="CM116" s="71">
        <f t="shared" si="43"/>
        <v>0.27246231900037299</v>
      </c>
      <c r="CN116" s="71">
        <f t="shared" si="43"/>
        <v>0.29898687681964764</v>
      </c>
      <c r="CO116" s="71">
        <f t="shared" si="43"/>
        <v>0.2936224999999999</v>
      </c>
      <c r="CP116" s="71">
        <f t="shared" si="43"/>
        <v>-4.0634999999999977E-3</v>
      </c>
      <c r="CQ116" s="71">
        <f t="shared" si="43"/>
        <v>-4.3328000000000033E-2</v>
      </c>
      <c r="CS116" t="s">
        <v>184</v>
      </c>
      <c r="CX116" s="4" t="s">
        <v>137</v>
      </c>
      <c r="CY116" s="4" t="s">
        <v>137</v>
      </c>
      <c r="CZ116" s="16"/>
      <c r="DA116" s="4" t="s">
        <v>138</v>
      </c>
      <c r="DB116" s="4" t="s">
        <v>138</v>
      </c>
      <c r="DC116" s="4" t="s">
        <v>138</v>
      </c>
      <c r="DD116" s="4" t="s">
        <v>138</v>
      </c>
      <c r="DE116" s="4" t="s">
        <v>153</v>
      </c>
      <c r="DF116" s="4" t="s">
        <v>140</v>
      </c>
      <c r="DG116" s="4" t="s">
        <v>140</v>
      </c>
      <c r="DH116" s="4" t="s">
        <v>141</v>
      </c>
      <c r="DI116" s="4" t="s">
        <v>142</v>
      </c>
      <c r="DJ116" s="4" t="s">
        <v>143</v>
      </c>
      <c r="DK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</row>
    <row r="117" spans="1:168" x14ac:dyDescent="0.2">
      <c r="A117" t="s">
        <v>122</v>
      </c>
      <c r="B117" t="s">
        <v>85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2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68"/>
      <c r="BJ117" s="68"/>
      <c r="BK117" s="68"/>
      <c r="BL117" s="68"/>
      <c r="BM117" s="68">
        <f>SourcedData!BR66</f>
        <v>0</v>
      </c>
      <c r="BN117" s="68">
        <f>SourcedData!BS66</f>
        <v>0</v>
      </c>
      <c r="BO117" s="68">
        <f>SourcedData!BT66</f>
        <v>0.41299999999999998</v>
      </c>
      <c r="BP117" s="68">
        <f>SourcedData!BU66</f>
        <v>0.42899999999999999</v>
      </c>
      <c r="BQ117" s="68">
        <f>SourcedData!BV66</f>
        <v>0.42417899999999997</v>
      </c>
      <c r="BR117" s="63">
        <f>SourcedData!BW66</f>
        <v>0.71483699999999994</v>
      </c>
      <c r="BS117" s="63">
        <f>SourcedData!BX66</f>
        <v>0.86623399999999995</v>
      </c>
      <c r="BT117" s="63">
        <f>SourcedData!BY66</f>
        <v>0.84652099999999997</v>
      </c>
      <c r="BU117" s="63">
        <f>SourcedData!BZ66</f>
        <v>1.061606</v>
      </c>
      <c r="BV117" s="63">
        <f>SourcedData!CA66</f>
        <v>1.02505</v>
      </c>
      <c r="BW117" s="63"/>
      <c r="BX117" s="11"/>
      <c r="BY117" s="11"/>
      <c r="BZ117" s="11"/>
      <c r="CA117" s="11"/>
      <c r="CB117" s="11"/>
      <c r="CC117" s="11"/>
      <c r="CE117" s="49"/>
      <c r="CF117" s="49"/>
      <c r="CG117" s="49"/>
      <c r="CH117" s="49"/>
      <c r="CI117" s="49"/>
      <c r="CJ117" s="72"/>
      <c r="CK117" s="71">
        <f t="shared" ref="CK117:CQ117" si="44">AVERAGE(BO117:BP117)</f>
        <v>0.42099999999999999</v>
      </c>
      <c r="CL117" s="71">
        <f t="shared" si="44"/>
        <v>0.42658949999999995</v>
      </c>
      <c r="CM117" s="71">
        <f t="shared" si="44"/>
        <v>0.5695079999999999</v>
      </c>
      <c r="CN117" s="71">
        <f t="shared" si="44"/>
        <v>0.79053549999999995</v>
      </c>
      <c r="CO117" s="71">
        <f t="shared" si="44"/>
        <v>0.85637750000000001</v>
      </c>
      <c r="CP117" s="71">
        <f t="shared" si="44"/>
        <v>0.95406349999999995</v>
      </c>
      <c r="CQ117" s="71">
        <f t="shared" si="44"/>
        <v>1.043328</v>
      </c>
      <c r="CS117" t="s">
        <v>185</v>
      </c>
      <c r="CX117" s="11"/>
      <c r="CY117" s="16"/>
      <c r="CZ117" s="16"/>
      <c r="DA117" s="16"/>
      <c r="DC117" s="4" t="s">
        <v>138</v>
      </c>
      <c r="DD117" s="4" t="s">
        <v>138</v>
      </c>
      <c r="DE117" s="4" t="s">
        <v>153</v>
      </c>
      <c r="DF117" s="4" t="s">
        <v>140</v>
      </c>
      <c r="DG117" s="4" t="s">
        <v>140</v>
      </c>
      <c r="DH117" s="4" t="s">
        <v>141</v>
      </c>
      <c r="DI117" s="4" t="s">
        <v>142</v>
      </c>
      <c r="DJ117" s="4" t="s">
        <v>143</v>
      </c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</row>
    <row r="118" spans="1:168" ht="14.25" customHeight="1" x14ac:dyDescent="0.2">
      <c r="A118" t="s">
        <v>103</v>
      </c>
      <c r="B118" t="s">
        <v>85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28">
        <f t="shared" ref="X118:AL118" si="45">X109/X42</f>
        <v>3.6909871244635191E-2</v>
      </c>
      <c r="Y118" s="28">
        <f t="shared" si="45"/>
        <v>1.6738197424892701E-2</v>
      </c>
      <c r="Z118" s="28">
        <f t="shared" si="45"/>
        <v>7.2532188841201703E-2</v>
      </c>
      <c r="AA118" s="28">
        <f t="shared" si="45"/>
        <v>1.0300429184549355E-2</v>
      </c>
      <c r="AB118" s="28">
        <f t="shared" si="45"/>
        <v>0.12317596566523605</v>
      </c>
      <c r="AC118" s="28">
        <f t="shared" si="45"/>
        <v>0.13090128755364805</v>
      </c>
      <c r="AD118" s="28">
        <f t="shared" si="45"/>
        <v>0.11072961373390558</v>
      </c>
      <c r="AE118" s="28">
        <f t="shared" si="45"/>
        <v>0.11201716738197424</v>
      </c>
      <c r="AF118" s="28">
        <f t="shared" si="45"/>
        <v>4.8068669527896991E-2</v>
      </c>
      <c r="AG118" s="28">
        <f t="shared" si="45"/>
        <v>0.15579399141630901</v>
      </c>
      <c r="AH118" s="28">
        <f t="shared" si="45"/>
        <v>0.14334763948497853</v>
      </c>
      <c r="AI118" s="28">
        <f t="shared" si="45"/>
        <v>0.18497854077253217</v>
      </c>
      <c r="AJ118" s="28">
        <f t="shared" si="45"/>
        <v>0.10901287553648067</v>
      </c>
      <c r="AK118" s="28">
        <f t="shared" si="45"/>
        <v>0.1965665236051502</v>
      </c>
      <c r="AL118" s="28">
        <f t="shared" si="45"/>
        <v>0.23390557939914161</v>
      </c>
      <c r="AM118" s="66">
        <f>AL118/AL$110*AM$110*1.35</f>
        <v>0.3024853404596004</v>
      </c>
      <c r="AN118" s="28">
        <f>AM118/AM$110*AN$110</f>
        <v>0.20032996761009281</v>
      </c>
      <c r="AO118" s="28">
        <f>AN118/AN$110*AO$110</f>
        <v>0.27919240920955474</v>
      </c>
      <c r="AP118" s="66">
        <f>SourcedData!AV67</f>
        <v>0.35</v>
      </c>
      <c r="AQ118" s="66">
        <f>SourcedData!AW67</f>
        <v>0.26</v>
      </c>
      <c r="AR118" s="66">
        <f>SourcedData!AX67</f>
        <v>0.36</v>
      </c>
      <c r="AS118" s="66">
        <f>SourcedData!AY67</f>
        <v>0.39</v>
      </c>
      <c r="AT118" s="91">
        <f>SourcedData!AZ67</f>
        <v>0.2</v>
      </c>
      <c r="AU118" s="91">
        <f>SourcedData!BA67</f>
        <v>0.2</v>
      </c>
      <c r="AV118" s="91">
        <f>SourcedData!BB67</f>
        <v>0.2</v>
      </c>
      <c r="AW118" s="91">
        <f>SourcedData!BC67</f>
        <v>0.25</v>
      </c>
      <c r="AX118" s="91">
        <f>SourcedData!BD67</f>
        <v>0.25</v>
      </c>
      <c r="AY118" s="91">
        <f>SourcedData!BE67</f>
        <v>0.25</v>
      </c>
      <c r="AZ118" s="91">
        <f>SourcedData!BF67</f>
        <v>0.25</v>
      </c>
      <c r="BA118" s="91">
        <f>SourcedData!BG67</f>
        <v>0.25</v>
      </c>
      <c r="BB118" s="91">
        <f>SourcedData!BH67</f>
        <v>0.25</v>
      </c>
      <c r="BC118" s="91">
        <f>SourcedData!BI67</f>
        <v>0.25</v>
      </c>
      <c r="BD118" s="91"/>
      <c r="BE118" s="91"/>
      <c r="BF118" s="91"/>
      <c r="BG118" s="91"/>
      <c r="BH118" s="11"/>
      <c r="BI118" s="68"/>
      <c r="BJ118" s="68"/>
      <c r="BK118" s="68"/>
      <c r="BL118" s="68"/>
      <c r="BM118" s="68">
        <f t="shared" ref="BM118:BV118" si="46">BM117+BM116</f>
        <v>0.49845099999999998</v>
      </c>
      <c r="BN118" s="68">
        <f t="shared" si="46"/>
        <v>0.22071099999999999</v>
      </c>
      <c r="BO118" s="68">
        <f t="shared" si="46"/>
        <v>0.82</v>
      </c>
      <c r="BP118" s="68">
        <f t="shared" si="46"/>
        <v>0.67300000000000004</v>
      </c>
      <c r="BQ118" s="68">
        <f t="shared" si="46"/>
        <v>1.2507489999999999</v>
      </c>
      <c r="BR118" s="68">
        <f t="shared" si="46"/>
        <v>1.4333269999999998</v>
      </c>
      <c r="BS118" s="68">
        <f t="shared" si="46"/>
        <v>1.3043499999999999</v>
      </c>
      <c r="BT118" s="68">
        <f t="shared" si="46"/>
        <v>0.84652099999999997</v>
      </c>
      <c r="BU118" s="68">
        <f t="shared" si="46"/>
        <v>1.061606</v>
      </c>
      <c r="BV118" s="68">
        <f t="shared" si="46"/>
        <v>1.02505</v>
      </c>
      <c r="BW118" s="68"/>
      <c r="BX118" s="11"/>
      <c r="BY118" s="11"/>
      <c r="BZ118" s="11"/>
      <c r="CA118" s="11"/>
      <c r="CB118" s="11"/>
      <c r="CC118" s="11"/>
      <c r="CE118" s="49"/>
      <c r="CF118" s="49"/>
      <c r="CG118" s="49"/>
      <c r="CH118" s="49"/>
      <c r="CI118" s="49"/>
      <c r="CJ118" s="71">
        <f t="shared" ref="CJ118:CQ118" si="47">SUMIF($D$7:$BH$7,CJ$8,$D118:$BH118)</f>
        <v>0.13648068669527894</v>
      </c>
      <c r="CK118" s="71">
        <f t="shared" si="47"/>
        <v>0.47682403433476389</v>
      </c>
      <c r="CL118" s="71">
        <f t="shared" si="47"/>
        <v>0.53218884120171672</v>
      </c>
      <c r="CM118" s="71">
        <f t="shared" si="47"/>
        <v>0.84197031900037289</v>
      </c>
      <c r="CN118" s="71">
        <f t="shared" si="47"/>
        <v>1.0895223768196476</v>
      </c>
      <c r="CO118" s="71">
        <f t="shared" si="47"/>
        <v>1.1499999999999999</v>
      </c>
      <c r="CP118" s="71">
        <f t="shared" si="47"/>
        <v>0.95</v>
      </c>
      <c r="CQ118" s="71">
        <f t="shared" si="47"/>
        <v>1</v>
      </c>
      <c r="CS118" t="s">
        <v>186</v>
      </c>
      <c r="CX118" s="11"/>
      <c r="CY118" s="16"/>
      <c r="CZ118" s="16"/>
      <c r="DA118" s="16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</row>
    <row r="119" spans="1:168" ht="14.25" customHeight="1" x14ac:dyDescent="0.2"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16"/>
      <c r="BW119" s="16"/>
      <c r="BX119" s="11"/>
      <c r="BY119" s="11"/>
      <c r="BZ119" s="11"/>
      <c r="CA119" s="11"/>
      <c r="CB119" s="11"/>
      <c r="CC119" s="11"/>
      <c r="CE119" s="49"/>
      <c r="CF119" s="49"/>
      <c r="CG119" s="49"/>
      <c r="CH119" s="49"/>
      <c r="CI119" s="49"/>
      <c r="CJ119" s="49"/>
      <c r="CK119" s="49"/>
      <c r="CL119" s="24"/>
      <c r="CM119" s="24"/>
      <c r="CN119" s="24"/>
      <c r="CO119" s="24"/>
      <c r="CX119" s="11"/>
      <c r="CY119" s="16"/>
      <c r="CZ119" s="16"/>
      <c r="DA119" s="16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</row>
    <row r="120" spans="1:168" ht="14.25" customHeight="1" x14ac:dyDescent="0.2"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J120" s="13"/>
      <c r="BK120" s="16"/>
      <c r="BL120" s="13"/>
      <c r="BM120" s="16"/>
      <c r="BN120" s="13"/>
      <c r="BO120" s="16"/>
      <c r="BP120" s="16"/>
      <c r="BQ120" s="16"/>
      <c r="BR120" s="16"/>
      <c r="BS120" s="16"/>
      <c r="BT120" s="16"/>
      <c r="BU120" s="16"/>
      <c r="BV120" s="16"/>
      <c r="BW120" s="16"/>
      <c r="BX120" s="11"/>
      <c r="BY120" s="11"/>
      <c r="BZ120" s="11"/>
      <c r="CA120" s="11"/>
      <c r="CB120" s="11"/>
      <c r="CC120" s="11"/>
      <c r="CE120" s="49"/>
      <c r="CF120" s="49"/>
      <c r="CG120" s="49"/>
      <c r="CH120" s="49"/>
      <c r="CI120" s="49"/>
      <c r="CJ120" s="49"/>
      <c r="CK120" s="49"/>
      <c r="CL120" s="24"/>
      <c r="CM120" s="24"/>
      <c r="CN120" s="24"/>
      <c r="CO120" s="24"/>
      <c r="CX120" s="11"/>
      <c r="CY120" s="16"/>
      <c r="CZ120" s="16"/>
      <c r="DA120" s="16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</row>
    <row r="121" spans="1:168" ht="14.25" customHeight="1" x14ac:dyDescent="0.2">
      <c r="A121" s="1" t="s">
        <v>187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J121" s="13"/>
      <c r="BK121" s="16"/>
      <c r="BL121" s="13"/>
      <c r="BM121" s="16"/>
      <c r="BN121" s="13"/>
      <c r="BO121" s="16"/>
      <c r="BP121" s="16"/>
      <c r="BQ121" s="16"/>
      <c r="BR121" s="16"/>
      <c r="BS121" s="16"/>
      <c r="BT121" s="16"/>
      <c r="BU121" s="16"/>
      <c r="BV121" s="16"/>
      <c r="BW121" s="16"/>
      <c r="BX121" s="11"/>
      <c r="BY121" s="11"/>
      <c r="BZ121" s="11"/>
      <c r="CA121" s="11"/>
      <c r="CB121" s="11"/>
      <c r="CC121" s="11"/>
      <c r="CE121" s="49"/>
      <c r="CF121" s="49"/>
      <c r="CG121" s="49"/>
      <c r="CL121" s="24"/>
      <c r="CM121" s="24"/>
      <c r="CN121" s="24"/>
      <c r="CO121" s="24"/>
      <c r="CX121" s="11"/>
      <c r="CY121" s="16"/>
      <c r="CZ121" s="16"/>
      <c r="DA121" s="16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</row>
    <row r="122" spans="1:168" ht="14.25" customHeight="1" x14ac:dyDescent="0.2">
      <c r="A122" t="s">
        <v>188</v>
      </c>
      <c r="B122" t="s">
        <v>126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J122" s="39">
        <f>BJ113/SUM(BJ86,BJ113)</f>
        <v>0.41273889938897568</v>
      </c>
      <c r="BK122" s="39">
        <f>BK113/SUM(BK86,BK113)</f>
        <v>0.39156711640838338</v>
      </c>
      <c r="BL122" s="45">
        <f>AVERAGE(BJ122:BK122)</f>
        <v>0.40215300789867953</v>
      </c>
      <c r="BM122" s="39">
        <f t="shared" ref="BM122:BV122" si="48">BM113/SUM(BM86,BM113)</f>
        <v>0.37455235963178235</v>
      </c>
      <c r="BN122" s="39">
        <f t="shared" si="48"/>
        <v>0.34245953562500014</v>
      </c>
      <c r="BO122" s="39">
        <f t="shared" si="48"/>
        <v>0.29614013199333911</v>
      </c>
      <c r="BP122" s="39">
        <f t="shared" si="48"/>
        <v>0.3016466808836587</v>
      </c>
      <c r="BQ122" s="39">
        <f t="shared" si="48"/>
        <v>0.28206245713842987</v>
      </c>
      <c r="BR122" s="39">
        <f t="shared" si="48"/>
        <v>0.38125050819451212</v>
      </c>
      <c r="BS122" s="39">
        <f t="shared" si="48"/>
        <v>0.38399701539775394</v>
      </c>
      <c r="BT122" s="39">
        <f t="shared" si="48"/>
        <v>0.32006660884390375</v>
      </c>
      <c r="BU122" s="39">
        <f t="shared" si="48"/>
        <v>0.26962229131022991</v>
      </c>
      <c r="BV122" s="39">
        <f t="shared" si="48"/>
        <v>0.19672130480838601</v>
      </c>
      <c r="BW122" s="11"/>
      <c r="BX122" s="11"/>
      <c r="BY122" s="11"/>
      <c r="BZ122" s="11"/>
      <c r="CA122" s="11"/>
      <c r="CB122" s="11"/>
      <c r="CC122" s="11"/>
      <c r="CE122" s="40">
        <f>BJ122</f>
        <v>0.41273889938897568</v>
      </c>
      <c r="CF122" s="40">
        <f t="shared" ref="CF122:CI123" si="49">AVERAGE(BJ122:BK122)</f>
        <v>0.40215300789867953</v>
      </c>
      <c r="CG122" s="40">
        <f t="shared" si="49"/>
        <v>0.39686006215353142</v>
      </c>
      <c r="CH122" s="40">
        <f t="shared" si="49"/>
        <v>0.38835268376523091</v>
      </c>
      <c r="CI122" s="40">
        <f t="shared" si="49"/>
        <v>0.35850594762839127</v>
      </c>
      <c r="CJ122" s="40">
        <f t="shared" ref="CJ122:CQ122" ca="1" si="50">CJ113/CJ12</f>
        <v>0.3436095394215008</v>
      </c>
      <c r="CK122" s="40">
        <f t="shared" ca="1" si="50"/>
        <v>0.29178872614292056</v>
      </c>
      <c r="CL122" s="40">
        <f t="shared" ca="1" si="50"/>
        <v>0.24429317227966016</v>
      </c>
      <c r="CM122" s="40">
        <f t="shared" ca="1" si="50"/>
        <v>0.36307619696890242</v>
      </c>
      <c r="CN122" s="40">
        <f t="shared" si="50"/>
        <v>0.29593481177370162</v>
      </c>
      <c r="CO122" s="40">
        <f t="shared" si="50"/>
        <v>0.33910648133489546</v>
      </c>
      <c r="CP122" s="40">
        <f t="shared" si="50"/>
        <v>0.19175602283804483</v>
      </c>
      <c r="CQ122" s="40">
        <f t="shared" si="50"/>
        <v>0.17391304347826086</v>
      </c>
      <c r="CS122" t="s">
        <v>189</v>
      </c>
      <c r="CX122" s="11"/>
      <c r="CY122" s="16"/>
      <c r="CZ122" s="16"/>
      <c r="DA122" s="16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</row>
    <row r="123" spans="1:168" ht="14.25" customHeight="1" x14ac:dyDescent="0.2">
      <c r="A123" t="s">
        <v>190</v>
      </c>
      <c r="B123" t="s">
        <v>126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J123" s="39">
        <f>BJ86/SUM(BJ86,BJ113)</f>
        <v>0.58726110061102432</v>
      </c>
      <c r="BK123" s="39">
        <f>BK86/SUM(BK86,BK113)</f>
        <v>0.60843288359161674</v>
      </c>
      <c r="BL123" s="45">
        <f>AVERAGE(BJ123:BK123)</f>
        <v>0.59784699210132053</v>
      </c>
      <c r="BM123" s="39">
        <f t="shared" ref="BM123:BV123" si="51">BM86/SUM(BM86,BM113)</f>
        <v>0.62544764036821765</v>
      </c>
      <c r="BN123" s="39">
        <f t="shared" si="51"/>
        <v>0.65754046437499991</v>
      </c>
      <c r="BO123" s="39">
        <f t="shared" si="51"/>
        <v>0.70385986800666089</v>
      </c>
      <c r="BP123" s="39">
        <f t="shared" si="51"/>
        <v>0.69835331911634135</v>
      </c>
      <c r="BQ123" s="39">
        <f t="shared" si="51"/>
        <v>0.71793754286157008</v>
      </c>
      <c r="BR123" s="39">
        <f t="shared" si="51"/>
        <v>0.61874949180548788</v>
      </c>
      <c r="BS123" s="39">
        <f t="shared" si="51"/>
        <v>0.61600298460224601</v>
      </c>
      <c r="BT123" s="39">
        <f t="shared" si="51"/>
        <v>0.6799333911560963</v>
      </c>
      <c r="BU123" s="39">
        <f t="shared" si="51"/>
        <v>0.73037770868977003</v>
      </c>
      <c r="BV123" s="39">
        <f t="shared" si="51"/>
        <v>0.80327869519161399</v>
      </c>
      <c r="BW123" s="16"/>
      <c r="BX123" s="11"/>
      <c r="BY123" s="11"/>
      <c r="BZ123" s="11"/>
      <c r="CA123" s="11"/>
      <c r="CB123" s="11"/>
      <c r="CC123" s="11"/>
      <c r="CE123" s="40">
        <f>BJ123</f>
        <v>0.58726110061102432</v>
      </c>
      <c r="CF123" s="40">
        <f t="shared" si="49"/>
        <v>0.59784699210132053</v>
      </c>
      <c r="CG123" s="40">
        <f t="shared" si="49"/>
        <v>0.60313993784646858</v>
      </c>
      <c r="CH123" s="40">
        <f t="shared" si="49"/>
        <v>0.61164731623476909</v>
      </c>
      <c r="CI123" s="40">
        <f t="shared" si="49"/>
        <v>0.64149405237160884</v>
      </c>
      <c r="CJ123" s="40">
        <f t="shared" ref="CJ123:CQ123" ca="1" si="52">CJ86/CJ12</f>
        <v>0.65639046057849926</v>
      </c>
      <c r="CK123" s="40">
        <f t="shared" ca="1" si="52"/>
        <v>0.7082112738570796</v>
      </c>
      <c r="CL123" s="40">
        <f t="shared" ca="1" si="52"/>
        <v>0.75570682772034004</v>
      </c>
      <c r="CM123" s="40">
        <f t="shared" ca="1" si="52"/>
        <v>0.63692380303109752</v>
      </c>
      <c r="CN123" s="40">
        <f t="shared" ca="1" si="52"/>
        <v>0.70406518822629838</v>
      </c>
      <c r="CO123" s="40">
        <f t="shared" ca="1" si="52"/>
        <v>0.66089351866510482</v>
      </c>
      <c r="CP123" s="40">
        <f t="shared" si="52"/>
        <v>0.80824397716195517</v>
      </c>
      <c r="CQ123" s="40">
        <f t="shared" si="52"/>
        <v>0.82608695652173902</v>
      </c>
      <c r="CS123" t="s">
        <v>191</v>
      </c>
      <c r="CX123" s="11"/>
      <c r="CY123" s="16"/>
      <c r="CZ123" s="16"/>
      <c r="DA123" s="16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</row>
    <row r="124" spans="1:168" ht="14.25" customHeight="1" x14ac:dyDescent="0.2">
      <c r="A124" t="s">
        <v>192</v>
      </c>
      <c r="D124" s="13"/>
      <c r="E124" s="13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1"/>
      <c r="BY124" s="11"/>
      <c r="BZ124" s="11"/>
      <c r="CA124" s="11"/>
      <c r="CB124" s="11"/>
      <c r="CC124" s="11"/>
      <c r="CE124" s="40">
        <f t="shared" ref="CE124:CQ124" si="53">CE123/2</f>
        <v>0.29363055030551216</v>
      </c>
      <c r="CF124" s="40">
        <f t="shared" si="53"/>
        <v>0.29892349605066026</v>
      </c>
      <c r="CG124" s="40">
        <f t="shared" si="53"/>
        <v>0.30156996892323429</v>
      </c>
      <c r="CH124" s="40">
        <f t="shared" si="53"/>
        <v>0.30582365811738454</v>
      </c>
      <c r="CI124" s="40">
        <f t="shared" si="53"/>
        <v>0.32074702618580442</v>
      </c>
      <c r="CJ124" s="40">
        <f t="shared" ca="1" si="53"/>
        <v>0.32819523028924963</v>
      </c>
      <c r="CK124" s="40">
        <f t="shared" ca="1" si="53"/>
        <v>0.3541056369285398</v>
      </c>
      <c r="CL124" s="40">
        <f t="shared" ca="1" si="53"/>
        <v>0.37785341386017002</v>
      </c>
      <c r="CM124" s="40">
        <f t="shared" ca="1" si="53"/>
        <v>0.31846190151554876</v>
      </c>
      <c r="CN124" s="40">
        <f t="shared" ca="1" si="53"/>
        <v>0.35203259411314919</v>
      </c>
      <c r="CO124" s="40">
        <f t="shared" ca="1" si="53"/>
        <v>0.33044675933255241</v>
      </c>
      <c r="CP124" s="40">
        <f t="shared" si="53"/>
        <v>0.40412198858097759</v>
      </c>
      <c r="CQ124" s="40">
        <f t="shared" si="53"/>
        <v>0.41304347826086951</v>
      </c>
      <c r="CS124" t="s">
        <v>193</v>
      </c>
      <c r="CX124" s="11"/>
      <c r="CY124" s="16"/>
      <c r="CZ124" s="16"/>
      <c r="DA124" s="16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</row>
    <row r="125" spans="1:168" ht="14.25" customHeight="1" x14ac:dyDescent="0.2">
      <c r="A125" t="s">
        <v>194</v>
      </c>
      <c r="D125" s="13"/>
      <c r="E125" s="13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1"/>
      <c r="BY125" s="11"/>
      <c r="BZ125" s="11"/>
      <c r="CA125" s="11"/>
      <c r="CB125" s="11"/>
      <c r="CC125" s="11"/>
      <c r="CE125" s="40">
        <f t="shared" ref="CE125:CQ125" si="54">CE123/2</f>
        <v>0.29363055030551216</v>
      </c>
      <c r="CF125" s="40">
        <f t="shared" si="54"/>
        <v>0.29892349605066026</v>
      </c>
      <c r="CG125" s="40">
        <f t="shared" si="54"/>
        <v>0.30156996892323429</v>
      </c>
      <c r="CH125" s="40">
        <f t="shared" si="54"/>
        <v>0.30582365811738454</v>
      </c>
      <c r="CI125" s="40">
        <f t="shared" si="54"/>
        <v>0.32074702618580442</v>
      </c>
      <c r="CJ125" s="40">
        <f t="shared" ca="1" si="54"/>
        <v>0.32819523028924963</v>
      </c>
      <c r="CK125" s="40">
        <f t="shared" ca="1" si="54"/>
        <v>0.3541056369285398</v>
      </c>
      <c r="CL125" s="40">
        <f t="shared" ca="1" si="54"/>
        <v>0.37785341386017002</v>
      </c>
      <c r="CM125" s="40">
        <f t="shared" ca="1" si="54"/>
        <v>0.31846190151554876</v>
      </c>
      <c r="CN125" s="40">
        <f t="shared" ca="1" si="54"/>
        <v>0.35203259411314919</v>
      </c>
      <c r="CO125" s="40">
        <f t="shared" ca="1" si="54"/>
        <v>0.33044675933255241</v>
      </c>
      <c r="CP125" s="40">
        <f t="shared" si="54"/>
        <v>0.40412198858097759</v>
      </c>
      <c r="CQ125" s="40">
        <f t="shared" si="54"/>
        <v>0.41304347826086951</v>
      </c>
      <c r="CS125" t="s">
        <v>193</v>
      </c>
      <c r="CX125" s="11"/>
      <c r="CY125" s="16"/>
      <c r="CZ125" s="16"/>
      <c r="DA125" s="16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</row>
    <row r="126" spans="1:168" ht="14.25" customHeight="1" x14ac:dyDescent="0.2"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L126" s="24"/>
      <c r="CM126" s="24"/>
      <c r="CN126" s="24"/>
      <c r="CO126" s="24"/>
      <c r="CX126" s="11"/>
      <c r="CY126" s="16"/>
      <c r="CZ126" s="16"/>
      <c r="DA126" s="16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</row>
    <row r="127" spans="1:168" ht="13.5" customHeight="1" x14ac:dyDescent="0.2">
      <c r="A127" s="1" t="s">
        <v>195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L127" s="24"/>
      <c r="CM127" s="24"/>
      <c r="CN127" s="24"/>
      <c r="CO127" s="24"/>
      <c r="CX127" s="11"/>
      <c r="CY127" s="16"/>
      <c r="CZ127" s="16"/>
      <c r="DA127" s="16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</row>
    <row r="128" spans="1:168" ht="14" customHeight="1" x14ac:dyDescent="0.2">
      <c r="A128" t="s">
        <v>196</v>
      </c>
      <c r="B128" t="s">
        <v>126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E128" s="40">
        <f t="shared" ref="CE128:CQ128" si="55">(CE63+CE64)/SUM(CE$63:CE$66)</f>
        <v>0.65774383527653035</v>
      </c>
      <c r="CF128" s="40">
        <f t="shared" si="55"/>
        <v>0.58802501839587928</v>
      </c>
      <c r="CG128" s="40">
        <f t="shared" si="55"/>
        <v>0.45580214937553509</v>
      </c>
      <c r="CH128" s="40">
        <f t="shared" si="55"/>
        <v>0.39318994570948046</v>
      </c>
      <c r="CI128" s="40">
        <f t="shared" si="55"/>
        <v>0.35579493840956139</v>
      </c>
      <c r="CJ128" s="40">
        <f t="shared" si="55"/>
        <v>0.34999033883366765</v>
      </c>
      <c r="CK128" s="40">
        <f t="shared" si="55"/>
        <v>0.37231856487679144</v>
      </c>
      <c r="CL128" s="40">
        <f t="shared" si="55"/>
        <v>0.44455700971959966</v>
      </c>
      <c r="CM128" s="40">
        <f t="shared" si="55"/>
        <v>0.41914870277400451</v>
      </c>
      <c r="CN128" s="40">
        <f t="shared" si="55"/>
        <v>0.36648348109402057</v>
      </c>
      <c r="CO128" s="40">
        <f t="shared" si="55"/>
        <v>0.47743141260986793</v>
      </c>
      <c r="CP128" s="40">
        <f t="shared" si="55"/>
        <v>0.52846305726733789</v>
      </c>
      <c r="CQ128" s="40">
        <f t="shared" si="55"/>
        <v>0.51147910354709225</v>
      </c>
      <c r="CS128" t="s">
        <v>197</v>
      </c>
      <c r="CX128" s="11"/>
      <c r="CY128" s="16"/>
      <c r="CZ128" s="16"/>
      <c r="DA128" s="16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</row>
    <row r="129" spans="1:177" ht="14.25" customHeight="1" x14ac:dyDescent="0.2">
      <c r="A129" t="s">
        <v>198</v>
      </c>
      <c r="B129" t="s">
        <v>126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E129" s="40">
        <f t="shared" ref="CE129:CQ129" si="56">(CE66)/SUM(CE$63:CE$66)</f>
        <v>0.31827407174230826</v>
      </c>
      <c r="CF129" s="40">
        <f t="shared" si="56"/>
        <v>0.37968648165668029</v>
      </c>
      <c r="CG129" s="40">
        <f t="shared" si="56"/>
        <v>0.5441978506244648</v>
      </c>
      <c r="CH129" s="40">
        <f t="shared" si="56"/>
        <v>0.6068100542905196</v>
      </c>
      <c r="CI129" s="40">
        <f t="shared" si="56"/>
        <v>0.64420506159043867</v>
      </c>
      <c r="CJ129" s="40">
        <f t="shared" si="56"/>
        <v>0.6500096611663323</v>
      </c>
      <c r="CK129" s="40">
        <f t="shared" si="56"/>
        <v>0.62768143512320851</v>
      </c>
      <c r="CL129" s="40">
        <f t="shared" si="56"/>
        <v>0.55544299028040045</v>
      </c>
      <c r="CM129" s="40">
        <f t="shared" si="56"/>
        <v>0.58085129722599549</v>
      </c>
      <c r="CN129" s="40">
        <f t="shared" si="56"/>
        <v>0.63351651890597949</v>
      </c>
      <c r="CO129" s="40">
        <f t="shared" si="56"/>
        <v>0</v>
      </c>
      <c r="CP129" s="40">
        <f t="shared" si="56"/>
        <v>0</v>
      </c>
      <c r="CQ129" s="40">
        <f t="shared" si="56"/>
        <v>0</v>
      </c>
      <c r="CS129" t="s">
        <v>197</v>
      </c>
      <c r="CY129" s="16"/>
      <c r="CZ129" s="16"/>
      <c r="DA129" s="16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</row>
    <row r="130" spans="1:177" ht="14.25" customHeight="1" x14ac:dyDescent="0.2">
      <c r="A130" t="s">
        <v>199</v>
      </c>
      <c r="B130" t="s">
        <v>126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E130" s="40">
        <f>(CE65)/SUM(CE$63:CE$66)</f>
        <v>2.3982092981161336E-2</v>
      </c>
      <c r="CF130" s="40">
        <f>(CF65)/SUM(CF$63:CF$66)</f>
        <v>3.228849994744034E-2</v>
      </c>
      <c r="CL130" s="24"/>
      <c r="CM130" s="24"/>
      <c r="CN130" s="24"/>
      <c r="CO130" s="24"/>
      <c r="CS130" t="s">
        <v>197</v>
      </c>
      <c r="CY130" s="16"/>
      <c r="CZ130" s="16"/>
      <c r="DA130" s="16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</row>
    <row r="131" spans="1:177" ht="14.25" customHeight="1" x14ac:dyDescent="0.2">
      <c r="A131" t="s">
        <v>200</v>
      </c>
      <c r="B131" t="s">
        <v>126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L131" s="24"/>
      <c r="CM131" s="24"/>
      <c r="CN131" s="24"/>
      <c r="CO131" s="40">
        <f>1-CO128</f>
        <v>0.52256858739013201</v>
      </c>
      <c r="CP131" s="40">
        <f>1-CP128</f>
        <v>0.47153694273266211</v>
      </c>
      <c r="CQ131" s="40">
        <f>1-CQ128</f>
        <v>0.48852089645290775</v>
      </c>
      <c r="CX131" s="11"/>
      <c r="CY131" s="16"/>
      <c r="CZ131" s="16"/>
      <c r="DA131" s="16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</row>
    <row r="132" spans="1:177" ht="14.25" customHeight="1" x14ac:dyDescent="0.2"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L132" s="24"/>
      <c r="CM132" s="24"/>
      <c r="CN132" s="24"/>
      <c r="CO132" s="24"/>
      <c r="CX132" s="11"/>
      <c r="CY132" s="16"/>
      <c r="CZ132" s="16"/>
      <c r="DA132" s="16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</row>
    <row r="133" spans="1:177" ht="14.25" customHeight="1" x14ac:dyDescent="0.2">
      <c r="A133" s="1" t="s">
        <v>201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J133" s="16"/>
      <c r="BK133" s="16"/>
      <c r="BL133" s="13"/>
      <c r="BM133" s="16"/>
      <c r="BN133" s="16"/>
      <c r="BX133" s="11"/>
      <c r="BY133" s="11"/>
      <c r="BZ133" s="11"/>
      <c r="CA133" s="11"/>
      <c r="CB133" s="11"/>
      <c r="CC133" s="11"/>
      <c r="CL133" s="24"/>
      <c r="CM133" s="24"/>
      <c r="CN133" s="24"/>
      <c r="CO133" s="24"/>
      <c r="CX133" s="11"/>
      <c r="CY133" s="16"/>
      <c r="CZ133" s="16"/>
      <c r="DA133" s="16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</row>
    <row r="134" spans="1:177" ht="14.25" customHeight="1" x14ac:dyDescent="0.2">
      <c r="A134" t="s">
        <v>196</v>
      </c>
      <c r="B134" t="s">
        <v>85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J134" s="16"/>
      <c r="BK134" s="16"/>
      <c r="BL134" s="13"/>
      <c r="BM134" s="16"/>
      <c r="BN134" s="16"/>
      <c r="BX134" s="11"/>
      <c r="BY134" s="11"/>
      <c r="BZ134" s="11"/>
      <c r="CA134" s="11"/>
      <c r="CB134" s="11"/>
      <c r="CC134" s="11"/>
      <c r="CE134" s="88">
        <f t="shared" ref="CE134:CK135" si="57">CE$11*CE128</f>
        <v>5.6588521050991103</v>
      </c>
      <c r="CF134" s="88">
        <f t="shared" si="57"/>
        <v>5.0917926378639757</v>
      </c>
      <c r="CG134" s="88">
        <f t="shared" si="57"/>
        <v>4.9765780960676276</v>
      </c>
      <c r="CH134" s="88">
        <f t="shared" si="57"/>
        <v>4.8810038160452462</v>
      </c>
      <c r="CI134" s="88">
        <f t="shared" si="57"/>
        <v>3.4730160495124172</v>
      </c>
      <c r="CJ134" s="88">
        <f t="shared" si="57"/>
        <v>3.2351121935929301</v>
      </c>
      <c r="CK134" s="88">
        <f t="shared" si="57"/>
        <v>3.0160198285508071</v>
      </c>
      <c r="CL134" s="88">
        <f>CL11-CL135</f>
        <v>3.7696770692583641</v>
      </c>
      <c r="CM134" s="88">
        <f>CM11-CM135</f>
        <v>3.4281704214002851</v>
      </c>
      <c r="CN134" s="88">
        <f>CN11-CN135</f>
        <v>3.1517153524197097</v>
      </c>
      <c r="CO134" s="88">
        <f>CO$11*CO128</f>
        <v>2.4141322960449982</v>
      </c>
      <c r="CP134" s="88">
        <f>CP$11*CP128</f>
        <v>3.1495238972084048</v>
      </c>
      <c r="CQ134" s="88">
        <f>CQ$11*CQ128</f>
        <v>2.7896764558986464</v>
      </c>
      <c r="CR134" s="86"/>
      <c r="CS134" t="s">
        <v>202</v>
      </c>
      <c r="CX134" s="11"/>
      <c r="CY134" s="16"/>
      <c r="CZ134" s="16"/>
      <c r="DA134" s="16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</row>
    <row r="135" spans="1:177" ht="14.25" customHeight="1" x14ac:dyDescent="0.2">
      <c r="A135" t="s">
        <v>198</v>
      </c>
      <c r="B135" t="s">
        <v>85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J135" s="16"/>
      <c r="BK135" s="16"/>
      <c r="BL135" s="13"/>
      <c r="BM135" s="16"/>
      <c r="BN135" s="16"/>
      <c r="BX135" s="11"/>
      <c r="BY135" s="11"/>
      <c r="BZ135" s="11"/>
      <c r="CA135" s="11"/>
      <c r="CB135" s="11"/>
      <c r="CC135" s="11"/>
      <c r="CE135" s="88">
        <f t="shared" si="57"/>
        <v>2.7382482423726824</v>
      </c>
      <c r="CF135" s="88">
        <f t="shared" si="57"/>
        <v>3.2877594855911454</v>
      </c>
      <c r="CG135" s="88">
        <f t="shared" si="57"/>
        <v>5.9417076182180848</v>
      </c>
      <c r="CH135" s="88">
        <f t="shared" si="57"/>
        <v>7.5328533268118978</v>
      </c>
      <c r="CI135" s="88">
        <f t="shared" si="57"/>
        <v>6.2882696647732974</v>
      </c>
      <c r="CJ135" s="88">
        <f t="shared" si="57"/>
        <v>6.0083206519360202</v>
      </c>
      <c r="CK135" s="88">
        <f t="shared" si="57"/>
        <v>5.0846233116828143</v>
      </c>
      <c r="CL135" s="88">
        <f>CL$11*CL129</f>
        <v>4.7099486859086834</v>
      </c>
      <c r="CM135" s="88">
        <f>CM$11*CM129</f>
        <v>4.7507178793674658</v>
      </c>
      <c r="CN135" s="88">
        <f>CN$11*CN129</f>
        <v>5.4481684486489224</v>
      </c>
      <c r="CO135" s="89"/>
      <c r="CR135" s="86"/>
      <c r="CS135" t="s">
        <v>203</v>
      </c>
      <c r="CX135" s="11"/>
      <c r="CY135" s="16"/>
      <c r="CZ135" s="16"/>
      <c r="DA135" s="16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FS135" s="4" t="s">
        <v>107</v>
      </c>
      <c r="FT135" s="4" t="s">
        <v>107</v>
      </c>
      <c r="FU135" s="4" t="s">
        <v>204</v>
      </c>
    </row>
    <row r="136" spans="1:177" ht="14.25" customHeight="1" x14ac:dyDescent="0.2">
      <c r="A136" t="s">
        <v>199</v>
      </c>
      <c r="B136" t="s">
        <v>85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J136" s="16"/>
      <c r="BK136" s="16"/>
      <c r="BL136" s="13"/>
      <c r="BM136" s="16"/>
      <c r="BN136" s="16"/>
      <c r="BX136" s="11"/>
      <c r="BY136" s="11"/>
      <c r="BZ136" s="11"/>
      <c r="CA136" s="11"/>
      <c r="CB136" s="11"/>
      <c r="CC136" s="11"/>
      <c r="CE136" s="88">
        <f>CE$11*CE130</f>
        <v>0.20632822395678008</v>
      </c>
      <c r="CF136" s="88">
        <f>CF$11*CF130</f>
        <v>0.27959073368773552</v>
      </c>
      <c r="CG136" s="90"/>
      <c r="CH136" s="90"/>
      <c r="CI136" s="90"/>
      <c r="CJ136" s="90"/>
      <c r="CK136" s="90"/>
      <c r="CL136" s="90"/>
      <c r="CM136" s="90"/>
      <c r="CN136" s="90"/>
      <c r="CO136" s="90"/>
      <c r="CR136" s="86"/>
      <c r="CS136" t="s">
        <v>205</v>
      </c>
      <c r="CX136" s="11"/>
      <c r="CY136" s="16"/>
      <c r="CZ136" s="16"/>
      <c r="DA136" s="16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</row>
    <row r="137" spans="1:177" x14ac:dyDescent="0.2">
      <c r="A137" t="s">
        <v>200</v>
      </c>
      <c r="B137" t="s">
        <v>126</v>
      </c>
      <c r="CJ137" s="24"/>
      <c r="CK137" s="24"/>
      <c r="CL137" s="24"/>
      <c r="CM137" s="24"/>
      <c r="CN137" s="24"/>
      <c r="CO137" s="88">
        <f>CO$11*CO131</f>
        <v>2.6423684541846502</v>
      </c>
      <c r="CP137" s="88">
        <f>CP$11*CP131</f>
        <v>2.8102567419425544</v>
      </c>
      <c r="CQ137" s="88">
        <f>CQ$11*CQ131</f>
        <v>2.6644592781955203</v>
      </c>
      <c r="CR137" s="87"/>
      <c r="CS137" t="s">
        <v>206</v>
      </c>
    </row>
    <row r="138" spans="1:177" x14ac:dyDescent="0.2">
      <c r="CJ138" s="24"/>
      <c r="CK138" s="24"/>
      <c r="CL138" s="24"/>
      <c r="CM138" s="24"/>
      <c r="CN138" s="24"/>
      <c r="CO138" s="24"/>
      <c r="CQ138" s="87"/>
      <c r="CR138" s="87"/>
    </row>
    <row r="139" spans="1:177" ht="14.25" customHeight="1" x14ac:dyDescent="0.2">
      <c r="A139" s="1" t="s">
        <v>207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J139" s="16"/>
      <c r="BK139" s="16"/>
      <c r="BL139" s="16"/>
      <c r="BM139" s="16"/>
      <c r="BN139" s="16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E139" s="11"/>
      <c r="CF139" s="11"/>
      <c r="CL139" s="24"/>
      <c r="CM139" s="24"/>
      <c r="CN139" s="24"/>
      <c r="CO139" s="24"/>
      <c r="CQ139" s="86"/>
      <c r="CR139" s="86"/>
      <c r="CX139" s="11"/>
      <c r="CY139" s="16"/>
      <c r="CZ139" s="16"/>
      <c r="DA139" s="16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</row>
    <row r="140" spans="1:177" x14ac:dyDescent="0.2">
      <c r="A140" t="s">
        <v>188</v>
      </c>
      <c r="B140" t="s">
        <v>126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J140" s="39">
        <f>1-BJ141</f>
        <v>0</v>
      </c>
      <c r="BK140" s="39">
        <f>1-BK141</f>
        <v>0</v>
      </c>
      <c r="BL140" s="43">
        <f>1-BL141</f>
        <v>0</v>
      </c>
      <c r="BM140" s="39">
        <f t="shared" ref="BM140:BV140" si="58">BM115/SUM(BM90,BM115)</f>
        <v>0.13155069709805858</v>
      </c>
      <c r="BN140" s="39">
        <f t="shared" si="58"/>
        <v>0.11288819910659929</v>
      </c>
      <c r="BO140" s="39">
        <f t="shared" si="58"/>
        <v>0.1319466825250665</v>
      </c>
      <c r="BP140" s="39">
        <f t="shared" si="58"/>
        <v>0.11405189560493555</v>
      </c>
      <c r="BQ140" s="39">
        <f t="shared" si="58"/>
        <v>0.13789716846055694</v>
      </c>
      <c r="BR140" s="39">
        <f t="shared" si="58"/>
        <v>0.19072585360043517</v>
      </c>
      <c r="BS140" s="39">
        <f t="shared" si="58"/>
        <v>0.14964819806124621</v>
      </c>
      <c r="BT140" s="39">
        <f t="shared" si="58"/>
        <v>0.12222285094372111</v>
      </c>
      <c r="BU140" s="39">
        <f t="shared" si="58"/>
        <v>0.1119507714612869</v>
      </c>
      <c r="BV140" s="39">
        <f t="shared" si="58"/>
        <v>0.14424623779636447</v>
      </c>
      <c r="BX140" s="11"/>
      <c r="BY140" s="11"/>
      <c r="BZ140" s="11"/>
      <c r="CA140" s="11"/>
      <c r="CB140" s="11"/>
      <c r="CC140" s="11"/>
      <c r="CE140" s="47">
        <f>BJ140</f>
        <v>0</v>
      </c>
      <c r="CF140" s="48">
        <f t="shared" ref="CF140:CI141" si="59">AVERAGE(BJ140:BK140)</f>
        <v>0</v>
      </c>
      <c r="CG140" s="48">
        <f t="shared" si="59"/>
        <v>0</v>
      </c>
      <c r="CH140" s="48">
        <f t="shared" si="59"/>
        <v>6.5775348549029292E-2</v>
      </c>
      <c r="CI140" s="40">
        <f t="shared" si="59"/>
        <v>0.12221944810232893</v>
      </c>
      <c r="CJ140" s="40">
        <f t="shared" ref="CJ140:CQ140" si="60">CJ115/CJ134</f>
        <v>0.111019428029365</v>
      </c>
      <c r="CK140" s="40">
        <f t="shared" si="60"/>
        <v>0.1209204023599126</v>
      </c>
      <c r="CL140" s="40">
        <f t="shared" si="60"/>
        <v>0.11269086882999188</v>
      </c>
      <c r="CM140" s="40">
        <f t="shared" si="60"/>
        <v>0.16056174756143698</v>
      </c>
      <c r="CN140" s="40">
        <f t="shared" si="60"/>
        <v>0.13707295258414592</v>
      </c>
      <c r="CO140" s="40">
        <f t="shared" si="60"/>
        <v>0.14912190213841114</v>
      </c>
      <c r="CP140" s="40">
        <f t="shared" si="60"/>
        <v>0.10160265819339663</v>
      </c>
      <c r="CQ140" s="40">
        <f t="shared" si="60"/>
        <v>0.11470864276155547</v>
      </c>
      <c r="CR140" s="86"/>
      <c r="CS140" t="s">
        <v>208</v>
      </c>
      <c r="CX140" s="11"/>
      <c r="CY140" s="16"/>
      <c r="CZ140" s="16"/>
      <c r="DA140" s="16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</row>
    <row r="141" spans="1:177" ht="14.25" customHeight="1" x14ac:dyDescent="0.2">
      <c r="A141" t="s">
        <v>209</v>
      </c>
      <c r="B141" t="s">
        <v>126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J141" s="46">
        <f>SourcedData!BO68</f>
        <v>1</v>
      </c>
      <c r="BK141" s="46">
        <f>SourcedData!BP68</f>
        <v>1</v>
      </c>
      <c r="BL141" s="43">
        <f>AVERAGE(BJ141:BK141)</f>
        <v>1</v>
      </c>
      <c r="BM141" s="39">
        <f t="shared" ref="BM141:BV141" si="61">BM90/SUM(BM90,BM115)</f>
        <v>0.86844930290194144</v>
      </c>
      <c r="BN141" s="39">
        <f t="shared" si="61"/>
        <v>0.8871118008934008</v>
      </c>
      <c r="BO141" s="39">
        <f t="shared" si="61"/>
        <v>0.86805331747493353</v>
      </c>
      <c r="BP141" s="39">
        <f t="shared" si="61"/>
        <v>0.88594810439506444</v>
      </c>
      <c r="BQ141" s="39">
        <f t="shared" si="61"/>
        <v>0.862102831539443</v>
      </c>
      <c r="BR141" s="39">
        <f t="shared" si="61"/>
        <v>0.80927414639956485</v>
      </c>
      <c r="BS141" s="39">
        <f t="shared" si="61"/>
        <v>0.85035180193875382</v>
      </c>
      <c r="BT141" s="39">
        <f t="shared" si="61"/>
        <v>0.8777771490562789</v>
      </c>
      <c r="BU141" s="39">
        <f t="shared" si="61"/>
        <v>0.88804922853871304</v>
      </c>
      <c r="BV141" s="39">
        <f t="shared" si="61"/>
        <v>0.85575376220363553</v>
      </c>
      <c r="BW141" s="11"/>
      <c r="BX141" s="11"/>
      <c r="BY141" s="11"/>
      <c r="BZ141" s="11"/>
      <c r="CA141" s="11"/>
      <c r="CB141" s="11"/>
      <c r="CC141" s="11"/>
      <c r="CE141" s="47">
        <f>BJ141</f>
        <v>1</v>
      </c>
      <c r="CF141" s="48">
        <f t="shared" si="59"/>
        <v>1</v>
      </c>
      <c r="CG141" s="48">
        <f t="shared" si="59"/>
        <v>1</v>
      </c>
      <c r="CH141" s="48">
        <f t="shared" si="59"/>
        <v>0.93422465145097067</v>
      </c>
      <c r="CI141" s="40">
        <f t="shared" si="59"/>
        <v>0.87778055189767112</v>
      </c>
      <c r="CJ141" s="40">
        <f t="shared" ref="CJ141:CQ141" si="62">1-CJ140</f>
        <v>0.88898057197063496</v>
      </c>
      <c r="CK141" s="40">
        <f t="shared" si="62"/>
        <v>0.87907959764008736</v>
      </c>
      <c r="CL141" s="40">
        <f t="shared" si="62"/>
        <v>0.88730913117000809</v>
      </c>
      <c r="CM141" s="40">
        <f t="shared" si="62"/>
        <v>0.83943825243856307</v>
      </c>
      <c r="CN141" s="40">
        <f t="shared" si="62"/>
        <v>0.86292704741585413</v>
      </c>
      <c r="CO141" s="40">
        <f t="shared" si="62"/>
        <v>0.85087809786158886</v>
      </c>
      <c r="CP141" s="40">
        <f t="shared" si="62"/>
        <v>0.89839734180660336</v>
      </c>
      <c r="CQ141" s="40">
        <f t="shared" si="62"/>
        <v>0.88529135723844454</v>
      </c>
      <c r="CR141" s="86"/>
      <c r="CS141" t="s">
        <v>208</v>
      </c>
      <c r="CX141" s="11"/>
      <c r="CY141" s="16"/>
      <c r="CZ141" s="16"/>
      <c r="DA141" s="16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</row>
    <row r="142" spans="1:177" x14ac:dyDescent="0.2">
      <c r="A142" t="s">
        <v>210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J142" s="16"/>
      <c r="BK142" s="16"/>
      <c r="BL142" s="16"/>
      <c r="BX142" s="11"/>
      <c r="BY142" s="11"/>
      <c r="BZ142" s="11"/>
      <c r="CA142" s="11"/>
      <c r="CB142" s="11"/>
      <c r="CC142" s="11"/>
      <c r="CE142" s="48">
        <f t="shared" ref="CE142:CQ142" si="63">CE141/2</f>
        <v>0.5</v>
      </c>
      <c r="CF142" s="48">
        <f t="shared" si="63"/>
        <v>0.5</v>
      </c>
      <c r="CG142" s="48">
        <f t="shared" si="63"/>
        <v>0.5</v>
      </c>
      <c r="CH142" s="48">
        <f t="shared" si="63"/>
        <v>0.46711232572548533</v>
      </c>
      <c r="CI142" s="48">
        <f t="shared" si="63"/>
        <v>0.43889027594883556</v>
      </c>
      <c r="CJ142" s="48">
        <f t="shared" si="63"/>
        <v>0.44449028598531748</v>
      </c>
      <c r="CK142" s="48">
        <f t="shared" si="63"/>
        <v>0.43953979882004368</v>
      </c>
      <c r="CL142" s="48">
        <f t="shared" si="63"/>
        <v>0.44365456558500405</v>
      </c>
      <c r="CM142" s="48">
        <f t="shared" si="63"/>
        <v>0.41971912621928154</v>
      </c>
      <c r="CN142" s="48">
        <f t="shared" si="63"/>
        <v>0.43146352370792707</v>
      </c>
      <c r="CO142" s="37">
        <f t="shared" si="63"/>
        <v>0.42543904893079443</v>
      </c>
      <c r="CP142" s="37">
        <f t="shared" si="63"/>
        <v>0.44919867090330168</v>
      </c>
      <c r="CQ142" s="37">
        <f t="shared" si="63"/>
        <v>0.44264567861922227</v>
      </c>
      <c r="CR142" s="86"/>
      <c r="CS142" t="s">
        <v>193</v>
      </c>
      <c r="CX142" s="11"/>
      <c r="CY142" s="16"/>
      <c r="CZ142" s="16"/>
      <c r="DA142" s="16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</row>
    <row r="143" spans="1:177" x14ac:dyDescent="0.2">
      <c r="A143" t="s">
        <v>211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J143" s="16"/>
      <c r="BK143" s="16"/>
      <c r="BL143" s="16"/>
      <c r="BS143" s="56"/>
      <c r="BX143" s="11"/>
      <c r="BY143" s="11"/>
      <c r="BZ143" s="11"/>
      <c r="CA143" s="11"/>
      <c r="CB143" s="11"/>
      <c r="CC143" s="11"/>
      <c r="CE143" s="48">
        <f t="shared" ref="CE143:CQ143" si="64">CE141/2</f>
        <v>0.5</v>
      </c>
      <c r="CF143" s="48">
        <f t="shared" si="64"/>
        <v>0.5</v>
      </c>
      <c r="CG143" s="48">
        <f t="shared" si="64"/>
        <v>0.5</v>
      </c>
      <c r="CH143" s="48">
        <f t="shared" si="64"/>
        <v>0.46711232572548533</v>
      </c>
      <c r="CI143" s="48">
        <f t="shared" si="64"/>
        <v>0.43889027594883556</v>
      </c>
      <c r="CJ143" s="48">
        <f t="shared" si="64"/>
        <v>0.44449028598531748</v>
      </c>
      <c r="CK143" s="48">
        <f t="shared" si="64"/>
        <v>0.43953979882004368</v>
      </c>
      <c r="CL143" s="48">
        <f t="shared" si="64"/>
        <v>0.44365456558500405</v>
      </c>
      <c r="CM143" s="48">
        <f t="shared" si="64"/>
        <v>0.41971912621928154</v>
      </c>
      <c r="CN143" s="48">
        <f t="shared" si="64"/>
        <v>0.43146352370792707</v>
      </c>
      <c r="CO143" s="37">
        <f t="shared" si="64"/>
        <v>0.42543904893079443</v>
      </c>
      <c r="CP143" s="37">
        <f t="shared" si="64"/>
        <v>0.44919867090330168</v>
      </c>
      <c r="CQ143" s="37">
        <f t="shared" si="64"/>
        <v>0.44264567861922227</v>
      </c>
      <c r="CR143" s="86"/>
      <c r="CS143" t="s">
        <v>193</v>
      </c>
      <c r="CX143" s="11"/>
      <c r="CY143" s="16"/>
      <c r="CZ143" s="16"/>
      <c r="DA143" s="16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</row>
    <row r="144" spans="1:177" x14ac:dyDescent="0.2"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J144" s="16"/>
      <c r="BK144" s="16"/>
      <c r="BL144" s="16"/>
      <c r="BX144" s="11"/>
      <c r="BY144" s="11"/>
      <c r="BZ144" s="11"/>
      <c r="CA144" s="11"/>
      <c r="CB144" s="11"/>
      <c r="CC144" s="11"/>
      <c r="CE144" s="49">
        <f t="shared" ref="CE144:CQ144" si="65">SUM(CE143,CE142,CE140)</f>
        <v>1</v>
      </c>
      <c r="CF144" s="49">
        <f t="shared" si="65"/>
        <v>1</v>
      </c>
      <c r="CG144" s="49">
        <f t="shared" si="65"/>
        <v>1</v>
      </c>
      <c r="CH144" s="49">
        <f t="shared" si="65"/>
        <v>1</v>
      </c>
      <c r="CI144" s="49">
        <f t="shared" si="65"/>
        <v>1</v>
      </c>
      <c r="CJ144" s="49">
        <f t="shared" si="65"/>
        <v>1</v>
      </c>
      <c r="CK144" s="49">
        <f t="shared" si="65"/>
        <v>1</v>
      </c>
      <c r="CL144" s="49">
        <f t="shared" si="65"/>
        <v>1</v>
      </c>
      <c r="CM144" s="49">
        <f t="shared" si="65"/>
        <v>1</v>
      </c>
      <c r="CN144" s="49">
        <f t="shared" si="65"/>
        <v>1</v>
      </c>
      <c r="CO144" s="49">
        <f t="shared" si="65"/>
        <v>1</v>
      </c>
      <c r="CP144" s="49">
        <f t="shared" si="65"/>
        <v>1</v>
      </c>
      <c r="CQ144" s="49">
        <f t="shared" si="65"/>
        <v>1</v>
      </c>
      <c r="CR144" s="86"/>
      <c r="CX144" s="11"/>
      <c r="CY144" s="16"/>
      <c r="CZ144" s="16"/>
      <c r="DA144" s="16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</row>
    <row r="145" spans="1:182" x14ac:dyDescent="0.2"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J145" s="16"/>
      <c r="BK145" s="16"/>
      <c r="BL145" s="16"/>
      <c r="BX145" s="11"/>
      <c r="BY145" s="11"/>
      <c r="BZ145" s="11"/>
      <c r="CA145" s="11"/>
      <c r="CB145" s="11"/>
      <c r="CC145" s="11"/>
      <c r="CQ145" s="86"/>
      <c r="CR145" s="86"/>
      <c r="CX145" s="11"/>
      <c r="CY145" s="16"/>
      <c r="CZ145" s="16"/>
      <c r="DA145" s="16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</row>
    <row r="146" spans="1:182" x14ac:dyDescent="0.2"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J146" s="16"/>
      <c r="BK146" s="16"/>
      <c r="BL146" s="16"/>
      <c r="BX146" s="11"/>
      <c r="BY146" s="11"/>
      <c r="BZ146" s="11"/>
      <c r="CA146" s="11"/>
      <c r="CB146" s="11"/>
      <c r="CC146" s="11"/>
      <c r="CE146" s="11"/>
      <c r="CF146" s="11"/>
      <c r="CL146" s="24"/>
      <c r="CM146" s="24"/>
      <c r="CN146" s="24"/>
      <c r="CO146" s="24"/>
      <c r="CQ146" s="86"/>
      <c r="CR146" s="86"/>
      <c r="CX146" s="11"/>
      <c r="CY146" s="16"/>
      <c r="CZ146" s="16"/>
      <c r="DA146" s="16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</row>
    <row r="147" spans="1:182" x14ac:dyDescent="0.2">
      <c r="A147" s="1" t="s">
        <v>212</v>
      </c>
      <c r="CG147" s="63"/>
      <c r="CH147" s="63"/>
      <c r="CI147" s="63"/>
      <c r="CJ147" s="63"/>
      <c r="CK147" s="63"/>
      <c r="CL147" s="63"/>
      <c r="CM147" s="63"/>
      <c r="CN147" s="63"/>
      <c r="CO147" s="24"/>
      <c r="CQ147" s="86"/>
      <c r="CR147" s="86"/>
    </row>
    <row r="148" spans="1:182" x14ac:dyDescent="0.2">
      <c r="A148" t="s">
        <v>128</v>
      </c>
      <c r="B148" t="s">
        <v>126</v>
      </c>
      <c r="BJ148" s="39">
        <f>SUM(BJ95,BJ116)/SUM(BJ95,BJ96,BJ116)</f>
        <v>0.50099970618029266</v>
      </c>
      <c r="BK148" s="39">
        <f>SUM(BK95,BK116)/SUM(BK95,BK96,BK116)</f>
        <v>0.39962231036114854</v>
      </c>
      <c r="BL148" s="43">
        <f>AVERAGE(BK148,BM148)</f>
        <v>0.38422821691465697</v>
      </c>
      <c r="BM148" s="39">
        <f>SUM(BM95,BM116)/SUM(BM95,BM96,BM116)</f>
        <v>0.36883412346816541</v>
      </c>
      <c r="BN148" s="39">
        <f>SUM(BN95,BN116)/SUM(BN95,BN96,BN116)</f>
        <v>0.35315593244724364</v>
      </c>
      <c r="BO148" s="39">
        <f t="shared" ref="BO148:BV148" si="66">SUM(BO95,BO116)/SUM(BO95,BO96,BO116,BO117)</f>
        <v>0.35511228712938459</v>
      </c>
      <c r="BP148" s="39">
        <f t="shared" si="66"/>
        <v>0.35813291376339251</v>
      </c>
      <c r="BQ148" s="39">
        <f t="shared" si="66"/>
        <v>0.42103857979963505</v>
      </c>
      <c r="BR148" s="39">
        <f t="shared" si="66"/>
        <v>0.39355964388792281</v>
      </c>
      <c r="BS148" s="39">
        <f t="shared" si="66"/>
        <v>0.32324525788263825</v>
      </c>
      <c r="BT148" s="39">
        <f t="shared" si="66"/>
        <v>0.33000975504052055</v>
      </c>
      <c r="BU148" s="39">
        <f t="shared" si="66"/>
        <v>0.37105802133026949</v>
      </c>
      <c r="BV148" s="39">
        <f t="shared" si="66"/>
        <v>0.41165262537939912</v>
      </c>
      <c r="CE148" s="42">
        <f>BJ148</f>
        <v>0.50099970618029266</v>
      </c>
      <c r="CF148" s="40">
        <f>AVERAGE(BJ148:BK148)</f>
        <v>0.45031100827072057</v>
      </c>
      <c r="CG148" s="42">
        <f>BL148</f>
        <v>0.38422821691465697</v>
      </c>
      <c r="CH148" s="40">
        <f>CH151/SUM(CH151:CH152)</f>
        <v>0.36243932123445999</v>
      </c>
      <c r="CI148" s="40">
        <f>CI151/SUM(CI151:CI152)</f>
        <v>0.35614624379246257</v>
      </c>
      <c r="CJ148" s="40">
        <f>CJ151/SUM(CJ151:CJ152)</f>
        <v>0.36614016126059712</v>
      </c>
      <c r="CK148" s="40">
        <f>CK151/SUM(CK151:CK152)</f>
        <v>0.36200230776058473</v>
      </c>
      <c r="CL148" s="40">
        <f>CL151/SUM(CL151:CL152)</f>
        <v>0.35957372163060014</v>
      </c>
      <c r="CM148" s="42">
        <f>SourcedData!CJ69</f>
        <v>0.37</v>
      </c>
      <c r="CN148" s="40">
        <f>CN151/SUM(CN151:CN152)</f>
        <v>0.33723969251029506</v>
      </c>
      <c r="CO148" s="40">
        <f>CO151/SUM(CO151:CO152)</f>
        <v>0.3638670258757421</v>
      </c>
      <c r="CP148" s="40">
        <f>CP151/SUM(CP151:CP152)</f>
        <v>0.36524428819524474</v>
      </c>
      <c r="CQ148" s="40">
        <f>CQ151/SUM(CQ151:CQ152)</f>
        <v>0.30182477108025735</v>
      </c>
      <c r="CR148" s="86"/>
      <c r="CS148" t="s">
        <v>213</v>
      </c>
    </row>
    <row r="149" spans="1:182" x14ac:dyDescent="0.2">
      <c r="A149" t="s">
        <v>122</v>
      </c>
      <c r="B149" t="s">
        <v>126</v>
      </c>
      <c r="BJ149" s="39">
        <f>BJ96/SUM(BJ95,BJ96,BJ116)</f>
        <v>0.49900029381970729</v>
      </c>
      <c r="BK149" s="39">
        <f>BK96/SUM(BK95,BK96,BK116)</f>
        <v>0.60037768963885141</v>
      </c>
      <c r="BL149" s="43">
        <f>AVERAGE(BK149,BM149)</f>
        <v>0.61577178308534308</v>
      </c>
      <c r="BM149" s="39">
        <f>BM96/SUM(BM95,BM96,BM116)</f>
        <v>0.63116587653183465</v>
      </c>
      <c r="BN149" s="39">
        <f>BN96/SUM(BN95,BN96,BN116)</f>
        <v>0.64684406755275636</v>
      </c>
      <c r="BO149" s="39">
        <f t="shared" ref="BO149:BV149" si="67">SUM(BO96,BO117)/SUM(BO95,BO96,BO116,BO117)</f>
        <v>0.64488771287061541</v>
      </c>
      <c r="BP149" s="39">
        <f t="shared" si="67"/>
        <v>0.64186708623660749</v>
      </c>
      <c r="BQ149" s="39">
        <f t="shared" si="67"/>
        <v>0.5789614202003649</v>
      </c>
      <c r="BR149" s="39">
        <f t="shared" si="67"/>
        <v>0.60644035611207736</v>
      </c>
      <c r="BS149" s="39">
        <f t="shared" si="67"/>
        <v>0.67675474211736175</v>
      </c>
      <c r="BT149" s="39">
        <f t="shared" si="67"/>
        <v>0.66999024495947956</v>
      </c>
      <c r="BU149" s="39">
        <f t="shared" si="67"/>
        <v>0.62894197866973045</v>
      </c>
      <c r="BV149" s="39">
        <f t="shared" si="67"/>
        <v>0.58834737462060083</v>
      </c>
      <c r="CE149" s="42">
        <f>BJ149</f>
        <v>0.49900029381970729</v>
      </c>
      <c r="CF149" s="40">
        <f>AVERAGE(BJ149:BK149)</f>
        <v>0.54968899172927932</v>
      </c>
      <c r="CG149" s="42">
        <f>BL149</f>
        <v>0.61577178308534308</v>
      </c>
      <c r="CH149" s="40">
        <f>1-CH148</f>
        <v>0.63756067876554001</v>
      </c>
      <c r="CI149" s="40">
        <f>1-CI148</f>
        <v>0.64385375620753749</v>
      </c>
      <c r="CJ149" s="40">
        <f>1-CJ148</f>
        <v>0.63385983873940288</v>
      </c>
      <c r="CK149" s="40">
        <f>1-CK148</f>
        <v>0.63799769223941527</v>
      </c>
      <c r="CL149" s="40">
        <f>1-CL148</f>
        <v>0.64042627836939992</v>
      </c>
      <c r="CM149" s="42">
        <f>SourcedData!CJ70</f>
        <v>0.63</v>
      </c>
      <c r="CN149" s="40">
        <f>1-CN148</f>
        <v>0.66276030748970494</v>
      </c>
      <c r="CO149" s="40">
        <f>1-CO148</f>
        <v>0.63613297412425784</v>
      </c>
      <c r="CP149" s="40">
        <f>1-CP148</f>
        <v>0.63475571180475532</v>
      </c>
      <c r="CQ149" s="40">
        <f>1-CQ148</f>
        <v>0.69817522891974271</v>
      </c>
      <c r="CR149" s="86"/>
      <c r="CS149" t="s">
        <v>213</v>
      </c>
    </row>
    <row r="150" spans="1:182" ht="14.25" customHeight="1" x14ac:dyDescent="0.2"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J150" s="16"/>
      <c r="BK150" s="16"/>
      <c r="BL150" s="13"/>
      <c r="BM150" s="49"/>
      <c r="BN150" s="49"/>
      <c r="BO150" s="49"/>
      <c r="BP150" s="49"/>
      <c r="BX150" s="11"/>
      <c r="BY150" s="11"/>
      <c r="BZ150" s="11"/>
      <c r="CA150" s="11"/>
      <c r="CB150" s="11"/>
      <c r="CC150" s="11"/>
      <c r="CL150" s="24"/>
      <c r="CM150" s="24"/>
      <c r="CN150" s="24"/>
      <c r="CO150" s="24"/>
      <c r="CQ150" s="86"/>
      <c r="CR150" s="86"/>
      <c r="CX150" s="11"/>
      <c r="CY150" s="16"/>
      <c r="CZ150" s="16"/>
      <c r="DA150" s="16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</row>
    <row r="151" spans="1:182" ht="14.25" customHeight="1" x14ac:dyDescent="0.2">
      <c r="A151" t="s">
        <v>128</v>
      </c>
      <c r="B151" t="s">
        <v>85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J151" s="16"/>
      <c r="BK151" s="16"/>
      <c r="BL151" s="13"/>
      <c r="BM151" s="16"/>
      <c r="BN151" s="16">
        <f>SourcedData!BS71</f>
        <v>5.0999999999999996</v>
      </c>
      <c r="BX151" s="11"/>
      <c r="BY151" s="11"/>
      <c r="BZ151" s="11"/>
      <c r="CA151" s="11"/>
      <c r="CB151" s="11"/>
      <c r="CC151" s="11"/>
      <c r="CE151" s="9">
        <f>CE15*CE148</f>
        <v>4.4578222783389814</v>
      </c>
      <c r="CF151" s="9">
        <f>CF15*CF148</f>
        <v>4.863552155850936</v>
      </c>
      <c r="CG151" s="9">
        <f>CG15*CG148</f>
        <v>4.8213220506153762</v>
      </c>
      <c r="CH151" s="9">
        <f t="shared" ref="CH151:CQ151" si="68">CH15-CH152</f>
        <v>4.9798851630901293</v>
      </c>
      <c r="CI151" s="9">
        <f t="shared" si="68"/>
        <v>5.017076463519313</v>
      </c>
      <c r="CJ151" s="9">
        <f t="shared" si="68"/>
        <v>5.1159051888412019</v>
      </c>
      <c r="CK151" s="9">
        <f t="shared" si="68"/>
        <v>5.251208583690989</v>
      </c>
      <c r="CL151" s="9">
        <f t="shared" si="68"/>
        <v>4.9706051502145918</v>
      </c>
      <c r="CM151" s="9">
        <f t="shared" si="68"/>
        <v>5.4586577733949451</v>
      </c>
      <c r="CN151" s="9">
        <f t="shared" si="68"/>
        <v>4.8805078102960398</v>
      </c>
      <c r="CO151" s="9">
        <f t="shared" si="68"/>
        <v>5.1691761759656654</v>
      </c>
      <c r="CP151" s="9">
        <f t="shared" si="68"/>
        <v>5.0998605364806835</v>
      </c>
      <c r="CQ151" s="9">
        <f t="shared" si="68"/>
        <v>3.8252727424892701</v>
      </c>
      <c r="CR151" s="86"/>
      <c r="CS151" t="s">
        <v>214</v>
      </c>
      <c r="CX151" s="11"/>
      <c r="CY151" s="16"/>
      <c r="CZ151" s="16"/>
      <c r="DA151" s="16"/>
      <c r="DB151" s="4" t="s">
        <v>215</v>
      </c>
      <c r="DC151" s="4"/>
      <c r="DD151" s="4"/>
      <c r="DE151" s="4"/>
      <c r="DF151" s="4"/>
      <c r="DG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</row>
    <row r="152" spans="1:182" ht="14.25" customHeight="1" x14ac:dyDescent="0.2">
      <c r="A152" t="s">
        <v>122</v>
      </c>
      <c r="B152" t="s">
        <v>85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J152" s="16"/>
      <c r="BK152" s="16"/>
      <c r="BL152" s="13"/>
      <c r="BM152" s="16"/>
      <c r="BN152" s="16">
        <f>SourcedData!BS72</f>
        <v>8.8000000000000007</v>
      </c>
      <c r="BX152" s="11"/>
      <c r="BY152" s="11"/>
      <c r="BZ152" s="11"/>
      <c r="CA152" s="11"/>
      <c r="CB152" s="11"/>
      <c r="CC152" s="11"/>
      <c r="CE152" s="9">
        <f>CE15*CE149</f>
        <v>4.4400317989142364</v>
      </c>
      <c r="CF152" s="9">
        <f>CF15*CF149</f>
        <v>5.9368770286984169</v>
      </c>
      <c r="CG152" s="9">
        <f>CG15*CG149</f>
        <v>7.7267466189125216</v>
      </c>
      <c r="CH152" s="7">
        <f>SourcedData!CE72</f>
        <v>8.7600289999999994</v>
      </c>
      <c r="CI152" s="7">
        <f>SourcedData!CF72</f>
        <v>9.0700479999999999</v>
      </c>
      <c r="CJ152" s="7">
        <f>SourcedData!CG72</f>
        <v>8.8566269999999996</v>
      </c>
      <c r="CK152" s="7">
        <f>SourcedData!CH72</f>
        <v>9.2547999999999995</v>
      </c>
      <c r="CL152" s="7">
        <f>SourcedData!CI72</f>
        <v>8.8529999999999998</v>
      </c>
      <c r="CM152" s="9">
        <f>CM15*CM149</f>
        <v>9.2944713438886897</v>
      </c>
      <c r="CN152" s="7">
        <f>SourcedData!CK72</f>
        <v>9.5914180000000009</v>
      </c>
      <c r="CO152" s="7">
        <f>SourcedData!CL72</f>
        <v>9.0370469999999994</v>
      </c>
      <c r="CP152" s="7">
        <f>SourcedData!CM72</f>
        <v>8.8630150000000008</v>
      </c>
      <c r="CQ152" s="7">
        <f>SourcedData!CN72</f>
        <v>8.8485469999999999</v>
      </c>
      <c r="CR152" s="86"/>
      <c r="CS152" t="s">
        <v>216</v>
      </c>
      <c r="CX152" s="11"/>
      <c r="CY152" s="16"/>
      <c r="CZ152" s="16"/>
      <c r="DA152" s="16"/>
      <c r="DB152" s="4" t="s">
        <v>215</v>
      </c>
      <c r="DC152" s="4"/>
      <c r="DD152" s="4"/>
      <c r="DE152" s="4"/>
      <c r="DF152" s="4"/>
      <c r="DG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FQ152" s="4" t="s">
        <v>119</v>
      </c>
      <c r="FR152" s="4" t="s">
        <v>119</v>
      </c>
      <c r="FS152" s="4" t="s">
        <v>119</v>
      </c>
      <c r="FT152" s="4" t="s">
        <v>120</v>
      </c>
      <c r="FU152" s="4" t="s">
        <v>120</v>
      </c>
      <c r="FW152" s="4" t="s">
        <v>121</v>
      </c>
      <c r="FX152" s="4" t="s">
        <v>123</v>
      </c>
      <c r="FY152" s="4" t="s">
        <v>123</v>
      </c>
      <c r="FZ152" s="4" t="s">
        <v>124</v>
      </c>
    </row>
    <row r="153" spans="1:182" ht="14.25" customHeight="1" x14ac:dyDescent="0.2"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J153" s="16"/>
      <c r="BK153" s="16"/>
      <c r="BL153" s="13"/>
      <c r="BM153" s="16"/>
      <c r="BN153" s="16"/>
      <c r="BX153" s="11"/>
      <c r="BY153" s="11"/>
      <c r="BZ153" s="11"/>
      <c r="CA153" s="11"/>
      <c r="CB153" s="11"/>
      <c r="CC153" s="11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X153" s="11"/>
      <c r="CY153" s="16"/>
      <c r="CZ153" s="16"/>
      <c r="DA153" s="16"/>
      <c r="DB153" s="4"/>
      <c r="DC153" s="4"/>
      <c r="DD153" s="4"/>
      <c r="DE153" s="4"/>
      <c r="DF153" s="4"/>
      <c r="DG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FQ153" s="4"/>
      <c r="FR153" s="4"/>
      <c r="FS153" s="4"/>
      <c r="FT153" s="4"/>
    </row>
    <row r="154" spans="1:182" ht="14.25" customHeight="1" x14ac:dyDescent="0.2">
      <c r="A154" s="1" t="s">
        <v>217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J154" s="16"/>
      <c r="BK154" s="16"/>
      <c r="BL154" s="13"/>
      <c r="BM154" s="16"/>
      <c r="BN154" s="16"/>
      <c r="BX154" s="11"/>
      <c r="BY154" s="11"/>
      <c r="BZ154" s="11"/>
      <c r="CA154" s="11"/>
      <c r="CB154" s="11"/>
      <c r="CC154" s="11"/>
      <c r="CX154" s="11"/>
      <c r="CY154" s="16"/>
      <c r="CZ154" s="16"/>
      <c r="DA154" s="16"/>
      <c r="DB154" s="4"/>
      <c r="DC154" s="4"/>
      <c r="DD154" s="4"/>
      <c r="DE154" s="4"/>
      <c r="DF154" s="4"/>
      <c r="DG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FQ154" s="4"/>
      <c r="FR154" s="4"/>
      <c r="FS154" s="4"/>
      <c r="FT154" s="4"/>
    </row>
    <row r="155" spans="1:182" ht="14.25" customHeight="1" x14ac:dyDescent="0.2">
      <c r="A155" t="s">
        <v>210</v>
      </c>
      <c r="B155" t="s">
        <v>126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J155" s="16"/>
      <c r="BK155" s="16"/>
      <c r="BL155" s="13"/>
      <c r="BM155" s="16"/>
      <c r="BN155" s="16"/>
      <c r="BX155" s="11"/>
      <c r="BY155" s="11"/>
      <c r="BZ155" s="11"/>
      <c r="CA155" s="11"/>
      <c r="CB155" s="11"/>
      <c r="CC155" s="11"/>
      <c r="CE155" s="40">
        <f>SourcedData!CB73</f>
        <v>0.68</v>
      </c>
      <c r="CF155" s="42">
        <f t="shared" ref="CF155:CJ156" si="69">CE155</f>
        <v>0.68</v>
      </c>
      <c r="CG155" s="42">
        <f t="shared" si="69"/>
        <v>0.68</v>
      </c>
      <c r="CH155" s="42">
        <f t="shared" si="69"/>
        <v>0.68</v>
      </c>
      <c r="CI155" s="42">
        <f t="shared" si="69"/>
        <v>0.68</v>
      </c>
      <c r="CJ155" s="42">
        <f t="shared" si="69"/>
        <v>0.68</v>
      </c>
      <c r="CK155" s="40">
        <f t="shared" ref="CK155:CQ155" si="70">$CJ$155*(1-CK157)</f>
        <v>0.64906686260102864</v>
      </c>
      <c r="CL155" s="40">
        <f t="shared" si="70"/>
        <v>0.64723360894612003</v>
      </c>
      <c r="CM155" s="40">
        <f t="shared" si="70"/>
        <v>0.63833378514264449</v>
      </c>
      <c r="CN155" s="40">
        <f t="shared" si="70"/>
        <v>0.62395363229920753</v>
      </c>
      <c r="CO155" s="40">
        <f t="shared" si="70"/>
        <v>0.61556117391001741</v>
      </c>
      <c r="CP155" s="40">
        <f t="shared" si="70"/>
        <v>0.6068010739009243</v>
      </c>
      <c r="CQ155" s="40">
        <f t="shared" si="70"/>
        <v>0.59982152097965913</v>
      </c>
      <c r="CS155" t="s">
        <v>218</v>
      </c>
      <c r="CX155" s="11"/>
      <c r="CY155" s="16"/>
      <c r="CZ155" s="16"/>
      <c r="DA155" s="16"/>
      <c r="DB155" s="4"/>
      <c r="DC155" s="4"/>
      <c r="DD155" s="4"/>
      <c r="DE155" s="4"/>
      <c r="DF155" s="4"/>
      <c r="DG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FN155" s="4" t="s">
        <v>219</v>
      </c>
      <c r="FQ155" s="4"/>
      <c r="FR155" s="4"/>
      <c r="FS155" s="4"/>
      <c r="FT155" s="4"/>
    </row>
    <row r="156" spans="1:182" ht="14.25" customHeight="1" x14ac:dyDescent="0.2">
      <c r="A156" t="s">
        <v>211</v>
      </c>
      <c r="B156" t="s">
        <v>126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J156" s="16"/>
      <c r="BK156" s="16"/>
      <c r="BL156" s="13"/>
      <c r="BM156" s="16"/>
      <c r="BN156" s="16"/>
      <c r="BX156" s="11"/>
      <c r="BY156" s="11"/>
      <c r="BZ156" s="11"/>
      <c r="CA156" s="11"/>
      <c r="CB156" s="11"/>
      <c r="CC156" s="11"/>
      <c r="CE156" s="40">
        <f>SourcedData!CB74</f>
        <v>0.32</v>
      </c>
      <c r="CF156" s="42">
        <f t="shared" si="69"/>
        <v>0.32</v>
      </c>
      <c r="CG156" s="42">
        <f t="shared" si="69"/>
        <v>0.32</v>
      </c>
      <c r="CH156" s="42">
        <f t="shared" si="69"/>
        <v>0.32</v>
      </c>
      <c r="CI156" s="42">
        <f t="shared" si="69"/>
        <v>0.32</v>
      </c>
      <c r="CJ156" s="42">
        <f t="shared" si="69"/>
        <v>0.32</v>
      </c>
      <c r="CK156" s="40">
        <f t="shared" ref="CK156:CQ156" si="71">$CJ$156*(1-CK157)</f>
        <v>0.30544322945930757</v>
      </c>
      <c r="CL156" s="40">
        <f t="shared" si="71"/>
        <v>0.30458052185699763</v>
      </c>
      <c r="CM156" s="40">
        <f t="shared" si="71"/>
        <v>0.30039236947889153</v>
      </c>
      <c r="CN156" s="40">
        <f t="shared" si="71"/>
        <v>0.29362523872903884</v>
      </c>
      <c r="CO156" s="40">
        <f t="shared" si="71"/>
        <v>0.28967584654589051</v>
      </c>
      <c r="CP156" s="40">
        <f t="shared" si="71"/>
        <v>0.28555344654161141</v>
      </c>
      <c r="CQ156" s="40">
        <f t="shared" si="71"/>
        <v>0.28226895104925137</v>
      </c>
      <c r="CS156" t="s">
        <v>218</v>
      </c>
      <c r="CX156" s="11"/>
      <c r="CY156" s="16"/>
      <c r="CZ156" s="16"/>
      <c r="DA156" s="16"/>
      <c r="DB156" s="4"/>
      <c r="DC156" s="4"/>
      <c r="DD156" s="4"/>
      <c r="DE156" s="4"/>
      <c r="DF156" s="4"/>
      <c r="DG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FN156" s="4" t="s">
        <v>219</v>
      </c>
      <c r="FQ156" s="4"/>
      <c r="FR156" s="4"/>
      <c r="FS156" s="4"/>
      <c r="FT156" s="4"/>
    </row>
    <row r="157" spans="1:182" ht="14.25" customHeight="1" x14ac:dyDescent="0.2">
      <c r="A157" t="s">
        <v>220</v>
      </c>
      <c r="B157" t="s">
        <v>126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J157" s="16"/>
      <c r="BK157" s="16"/>
      <c r="BL157" s="13"/>
      <c r="BM157" s="16"/>
      <c r="BN157" s="16"/>
      <c r="BX157" s="11"/>
      <c r="BY157" s="11"/>
      <c r="BZ157" s="11"/>
      <c r="CA157" s="11"/>
      <c r="CB157" s="11"/>
      <c r="CC157" s="11"/>
      <c r="CJ157" s="51"/>
      <c r="CK157" s="40">
        <f t="shared" ref="CK157:CQ157" si="72">CK117/CK152</f>
        <v>4.5489907939663746E-2</v>
      </c>
      <c r="CL157" s="40">
        <f t="shared" si="72"/>
        <v>4.8185869196882412E-2</v>
      </c>
      <c r="CM157" s="40">
        <f t="shared" si="72"/>
        <v>6.1273845378463983E-2</v>
      </c>
      <c r="CN157" s="40">
        <f t="shared" si="72"/>
        <v>8.2421128971753688E-2</v>
      </c>
      <c r="CO157" s="40">
        <f t="shared" si="72"/>
        <v>9.4762979544092227E-2</v>
      </c>
      <c r="CP157" s="40">
        <f t="shared" si="72"/>
        <v>0.10764547955746434</v>
      </c>
      <c r="CQ157" s="40">
        <f t="shared" si="72"/>
        <v>0.1179095279710895</v>
      </c>
      <c r="CS157" t="s">
        <v>221</v>
      </c>
      <c r="CX157" s="11"/>
      <c r="CY157" s="16"/>
      <c r="CZ157" s="16"/>
      <c r="DA157" s="16"/>
      <c r="DB157" s="4"/>
      <c r="DC157" s="4"/>
      <c r="DD157" s="4"/>
      <c r="DE157" s="4"/>
      <c r="DF157" s="4"/>
      <c r="DG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FQ157" s="4"/>
      <c r="FR157" s="4"/>
      <c r="FS157" s="4"/>
      <c r="FT157" s="4"/>
    </row>
    <row r="158" spans="1:182" ht="14.25" customHeight="1" x14ac:dyDescent="0.2"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J158" s="16"/>
      <c r="BK158" s="16"/>
      <c r="BL158" s="13"/>
      <c r="BM158" s="16"/>
      <c r="BN158" s="16"/>
      <c r="BX158" s="11"/>
      <c r="BY158" s="11"/>
      <c r="BZ158" s="11"/>
      <c r="CA158" s="11"/>
      <c r="CB158" s="11"/>
      <c r="CC158" s="11"/>
      <c r="CH158" s="12"/>
      <c r="CI158" s="12"/>
      <c r="CJ158" s="12"/>
      <c r="CK158" s="12"/>
      <c r="CL158" s="24"/>
      <c r="CM158" s="24"/>
      <c r="CN158" s="24"/>
      <c r="CO158" s="24"/>
      <c r="CX158" s="11"/>
      <c r="CY158" s="16"/>
      <c r="CZ158" s="16"/>
      <c r="DA158" s="16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FQ158" s="4"/>
      <c r="FR158" s="4"/>
      <c r="FS158" s="4"/>
      <c r="FT158" s="4"/>
    </row>
    <row r="159" spans="1:182" x14ac:dyDescent="0.2">
      <c r="A159" s="54" t="s">
        <v>222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J159" s="16"/>
      <c r="BK159" s="16"/>
      <c r="BL159" s="13"/>
      <c r="BM159" s="16"/>
      <c r="BN159" s="16"/>
      <c r="BX159" s="11"/>
      <c r="BY159" s="11"/>
      <c r="BZ159" s="11"/>
      <c r="CA159" s="11"/>
      <c r="CB159" s="11"/>
      <c r="CC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X159" s="11"/>
      <c r="CY159" s="16"/>
      <c r="CZ159" s="16"/>
      <c r="DA159" s="16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</row>
    <row r="160" spans="1:182" x14ac:dyDescent="0.2">
      <c r="A160" t="s">
        <v>223</v>
      </c>
      <c r="B160" t="s">
        <v>126</v>
      </c>
      <c r="CE160" s="77">
        <f t="shared" ref="CE160:CQ160" si="73">100%-CE169</f>
        <v>0.8</v>
      </c>
      <c r="CF160" s="77">
        <f t="shared" si="73"/>
        <v>0.8</v>
      </c>
      <c r="CG160" s="77">
        <f t="shared" si="73"/>
        <v>0.8</v>
      </c>
      <c r="CH160" s="77">
        <f t="shared" si="73"/>
        <v>0.8</v>
      </c>
      <c r="CI160" s="77">
        <f t="shared" si="73"/>
        <v>0.8</v>
      </c>
      <c r="CJ160" s="77">
        <f t="shared" si="73"/>
        <v>0.8</v>
      </c>
      <c r="CK160" s="77">
        <f t="shared" si="73"/>
        <v>0.8</v>
      </c>
      <c r="CL160" s="77">
        <f t="shared" si="73"/>
        <v>0.8</v>
      </c>
      <c r="CM160" s="77">
        <f t="shared" si="73"/>
        <v>0.8</v>
      </c>
      <c r="CN160" s="77">
        <f t="shared" si="73"/>
        <v>0.8</v>
      </c>
      <c r="CO160" s="77">
        <f t="shared" si="73"/>
        <v>0.8</v>
      </c>
      <c r="CP160" s="77">
        <f t="shared" si="73"/>
        <v>0.8</v>
      </c>
      <c r="CQ160" s="77">
        <f t="shared" si="73"/>
        <v>0.8</v>
      </c>
      <c r="CS160" t="s">
        <v>224</v>
      </c>
      <c r="FN160" s="4" t="s">
        <v>225</v>
      </c>
      <c r="FO160" s="4" t="s">
        <v>225</v>
      </c>
      <c r="FP160" s="4" t="s">
        <v>225</v>
      </c>
      <c r="FQ160" s="4" t="s">
        <v>225</v>
      </c>
      <c r="FR160" s="4" t="s">
        <v>225</v>
      </c>
      <c r="FS160" s="4" t="s">
        <v>225</v>
      </c>
      <c r="FT160" s="4" t="s">
        <v>225</v>
      </c>
      <c r="FU160" s="4" t="s">
        <v>225</v>
      </c>
      <c r="FV160" s="4" t="s">
        <v>225</v>
      </c>
    </row>
    <row r="161" spans="1:178" x14ac:dyDescent="0.2">
      <c r="A161" t="s">
        <v>226</v>
      </c>
      <c r="B161" t="s">
        <v>85</v>
      </c>
      <c r="BK161" s="13"/>
      <c r="BN161" s="13"/>
      <c r="CE161" s="9">
        <f>CE151/CF151*CF161</f>
        <v>3.8988737693466771</v>
      </c>
      <c r="CF161" s="9">
        <f>CF55*CF160</f>
        <v>4.2537307999999996</v>
      </c>
      <c r="CG161" s="9">
        <f>CG151/CF151*CF161</f>
        <v>4.2167957587849818</v>
      </c>
      <c r="CH161" s="9">
        <f>CH151/CG151*CG161</f>
        <v>4.3554772766682239</v>
      </c>
      <c r="CI161" s="9">
        <f>CI55*CI160</f>
        <v>4.3418251999999997</v>
      </c>
      <c r="CJ161" s="9">
        <f t="shared" ref="CJ161:CQ161" si="74">CJ151/CI151*CI161</f>
        <v>4.4273525092221231</v>
      </c>
      <c r="CK161" s="9">
        <f t="shared" si="74"/>
        <v>4.5444453408095988</v>
      </c>
      <c r="CL161" s="9">
        <f t="shared" si="74"/>
        <v>4.3016084880063374</v>
      </c>
      <c r="CM161" s="9">
        <f t="shared" si="74"/>
        <v>4.7239738224114909</v>
      </c>
      <c r="CN161" s="9">
        <f t="shared" si="74"/>
        <v>4.2236374019055418</v>
      </c>
      <c r="CO161" s="9">
        <f t="shared" si="74"/>
        <v>4.4734537229484177</v>
      </c>
      <c r="CP161" s="9">
        <f t="shared" si="74"/>
        <v>4.4134673160322873</v>
      </c>
      <c r="CQ161" s="9">
        <f t="shared" si="74"/>
        <v>3.3104270407237504</v>
      </c>
      <c r="CS161" t="s">
        <v>227</v>
      </c>
      <c r="FV161" s="4"/>
    </row>
    <row r="162" spans="1:178" x14ac:dyDescent="0.2">
      <c r="A162" t="s">
        <v>228</v>
      </c>
      <c r="B162" t="s">
        <v>85</v>
      </c>
      <c r="BK162" s="13"/>
      <c r="BN162" s="13"/>
      <c r="CE162" s="44">
        <f t="shared" ref="CE162:CQ162" si="75">CE161</f>
        <v>3.8988737693466771</v>
      </c>
      <c r="CF162" s="44">
        <f t="shared" si="75"/>
        <v>4.2537307999999996</v>
      </c>
      <c r="CG162" s="44">
        <f t="shared" si="75"/>
        <v>4.2167957587849818</v>
      </c>
      <c r="CH162" s="44">
        <f t="shared" si="75"/>
        <v>4.3554772766682239</v>
      </c>
      <c r="CI162" s="44">
        <f t="shared" si="75"/>
        <v>4.3418251999999997</v>
      </c>
      <c r="CJ162" s="44">
        <f t="shared" si="75"/>
        <v>4.4273525092221231</v>
      </c>
      <c r="CK162" s="44">
        <f t="shared" si="75"/>
        <v>4.5444453408095988</v>
      </c>
      <c r="CL162" s="44">
        <f t="shared" si="75"/>
        <v>4.3016084880063374</v>
      </c>
      <c r="CM162" s="44">
        <f t="shared" si="75"/>
        <v>4.7239738224114909</v>
      </c>
      <c r="CN162" s="44">
        <f t="shared" si="75"/>
        <v>4.2236374019055418</v>
      </c>
      <c r="CO162" s="44">
        <f t="shared" si="75"/>
        <v>4.4734537229484177</v>
      </c>
      <c r="CP162" s="44">
        <f t="shared" si="75"/>
        <v>4.4134673160322873</v>
      </c>
      <c r="CQ162" s="44">
        <f t="shared" si="75"/>
        <v>3.3104270407237504</v>
      </c>
      <c r="CS162" t="s">
        <v>229</v>
      </c>
    </row>
    <row r="163" spans="1:178" x14ac:dyDescent="0.2">
      <c r="A163" t="s">
        <v>230</v>
      </c>
      <c r="B163" t="s">
        <v>85</v>
      </c>
      <c r="BK163" s="13"/>
      <c r="BN163" s="13"/>
      <c r="CE163" s="9">
        <f>CE165*CE162</f>
        <v>0.30678076708210034</v>
      </c>
      <c r="CF163" s="9">
        <f>AVERAGE(BJ$116:BK$116)</f>
        <v>0.33470250000000001</v>
      </c>
      <c r="CG163" s="9">
        <f>CG$162*CG$165</f>
        <v>0.33179628632228692</v>
      </c>
      <c r="CH163" s="9">
        <f>CH$162*CH$165</f>
        <v>0.3427083663108268</v>
      </c>
      <c r="CI163" s="9">
        <f>AVERAGE(BM$116:BN$116)</f>
        <v>0.35958099999999998</v>
      </c>
      <c r="CJ163" s="97">
        <f t="shared" ref="CJ163:CQ163" si="76">CJ$116</f>
        <v>0.13648068669527894</v>
      </c>
      <c r="CK163" s="97">
        <f t="shared" si="76"/>
        <v>5.5824034334763906E-2</v>
      </c>
      <c r="CL163" s="97">
        <f t="shared" si="76"/>
        <v>0.10559934120171677</v>
      </c>
      <c r="CM163" s="97">
        <f t="shared" si="76"/>
        <v>0.27246231900037299</v>
      </c>
      <c r="CN163" s="97">
        <f t="shared" si="76"/>
        <v>0.29898687681964764</v>
      </c>
      <c r="CO163" s="97">
        <f t="shared" si="76"/>
        <v>0.2936224999999999</v>
      </c>
      <c r="CP163" s="97">
        <f t="shared" si="76"/>
        <v>-4.0634999999999977E-3</v>
      </c>
      <c r="CQ163" s="97">
        <f t="shared" si="76"/>
        <v>-4.3328000000000033E-2</v>
      </c>
      <c r="CS163" t="s">
        <v>231</v>
      </c>
    </row>
    <row r="164" spans="1:178" x14ac:dyDescent="0.2">
      <c r="A164" t="s">
        <v>232</v>
      </c>
      <c r="BK164" s="13"/>
      <c r="BN164" s="13"/>
      <c r="CE164" s="9">
        <f t="shared" ref="CE164:CQ164" si="77">CE162-CE163</f>
        <v>3.5920930022645767</v>
      </c>
      <c r="CF164" s="9">
        <f t="shared" si="77"/>
        <v>3.9190282999999995</v>
      </c>
      <c r="CG164" s="9">
        <f t="shared" si="77"/>
        <v>3.8849994724626948</v>
      </c>
      <c r="CH164" s="9">
        <f t="shared" si="77"/>
        <v>4.0127689103573969</v>
      </c>
      <c r="CI164" s="9">
        <f t="shared" si="77"/>
        <v>3.9822441999999998</v>
      </c>
      <c r="CJ164" s="9">
        <f t="shared" si="77"/>
        <v>4.2908718225268441</v>
      </c>
      <c r="CK164" s="9">
        <f t="shared" si="77"/>
        <v>4.488621306474835</v>
      </c>
      <c r="CL164" s="9">
        <f t="shared" si="77"/>
        <v>4.196009146804621</v>
      </c>
      <c r="CM164" s="9">
        <f t="shared" si="77"/>
        <v>4.4515115034111181</v>
      </c>
      <c r="CN164" s="9">
        <f t="shared" si="77"/>
        <v>3.9246505250858941</v>
      </c>
      <c r="CO164" s="9">
        <f t="shared" si="77"/>
        <v>4.179831222948418</v>
      </c>
      <c r="CP164" s="9">
        <f t="shared" si="77"/>
        <v>4.4175308160322873</v>
      </c>
      <c r="CQ164" s="9">
        <f t="shared" si="77"/>
        <v>3.3537550407237502</v>
      </c>
    </row>
    <row r="165" spans="1:178" x14ac:dyDescent="0.2">
      <c r="A165" t="s">
        <v>233</v>
      </c>
      <c r="B165" t="s">
        <v>126</v>
      </c>
      <c r="BK165" s="13"/>
      <c r="BN165" s="13"/>
      <c r="CE165" s="42">
        <f>CF165</f>
        <v>7.8684457417944748E-2</v>
      </c>
      <c r="CF165" s="40">
        <f>CF163/CF162</f>
        <v>7.8684457417944748E-2</v>
      </c>
      <c r="CG165" s="42">
        <f>CF165</f>
        <v>7.8684457417944748E-2</v>
      </c>
      <c r="CH165" s="42">
        <f>CF165</f>
        <v>7.8684457417944748E-2</v>
      </c>
      <c r="CI165" s="40">
        <f t="shared" ref="CI165:CQ165" si="78">CI163/CI162</f>
        <v>8.2817935646050417E-2</v>
      </c>
      <c r="CJ165" s="40">
        <f t="shared" si="78"/>
        <v>3.0826704313919272E-2</v>
      </c>
      <c r="CK165" s="40">
        <f t="shared" si="78"/>
        <v>1.2284014912327845E-2</v>
      </c>
      <c r="CL165" s="40">
        <f t="shared" si="78"/>
        <v>2.4548803429262991E-2</v>
      </c>
      <c r="CM165" s="40">
        <f t="shared" si="78"/>
        <v>5.76765090669547E-2</v>
      </c>
      <c r="CN165" s="40">
        <f t="shared" si="78"/>
        <v>7.0788954725317169E-2</v>
      </c>
      <c r="CO165" s="40">
        <f t="shared" si="78"/>
        <v>6.5636646355307693E-2</v>
      </c>
      <c r="CP165" s="40">
        <f t="shared" si="78"/>
        <v>-9.2070467707758839E-4</v>
      </c>
      <c r="CQ165" s="40">
        <f t="shared" si="78"/>
        <v>-1.3088341614841129E-2</v>
      </c>
      <c r="CS165" t="s">
        <v>234</v>
      </c>
      <c r="FN165" s="4" t="s">
        <v>225</v>
      </c>
      <c r="FO165" s="4" t="s">
        <v>225</v>
      </c>
      <c r="FP165" s="4" t="s">
        <v>225</v>
      </c>
      <c r="FQ165" s="4" t="s">
        <v>225</v>
      </c>
      <c r="FR165" s="4" t="s">
        <v>225</v>
      </c>
      <c r="FS165" s="4" t="s">
        <v>225</v>
      </c>
      <c r="FT165" s="4" t="s">
        <v>225</v>
      </c>
      <c r="FU165" s="4" t="s">
        <v>225</v>
      </c>
      <c r="FV165" s="4" t="s">
        <v>225</v>
      </c>
    </row>
    <row r="166" spans="1:178" x14ac:dyDescent="0.2">
      <c r="A166" t="s">
        <v>235</v>
      </c>
      <c r="B166" t="s">
        <v>126</v>
      </c>
      <c r="BK166" s="13"/>
      <c r="BN166" s="13"/>
      <c r="CE166" s="40">
        <f t="shared" ref="CE166:CQ166" si="79">1-CE165</f>
        <v>0.92131554258205528</v>
      </c>
      <c r="CF166" s="40">
        <f t="shared" si="79"/>
        <v>0.92131554258205528</v>
      </c>
      <c r="CG166" s="40">
        <f t="shared" si="79"/>
        <v>0.92131554258205528</v>
      </c>
      <c r="CH166" s="40">
        <f t="shared" si="79"/>
        <v>0.92131554258205528</v>
      </c>
      <c r="CI166" s="40">
        <f t="shared" si="79"/>
        <v>0.91718206435394956</v>
      </c>
      <c r="CJ166" s="40">
        <f t="shared" si="79"/>
        <v>0.96917329568608068</v>
      </c>
      <c r="CK166" s="40">
        <f t="shared" si="79"/>
        <v>0.98771598508767211</v>
      </c>
      <c r="CL166" s="40">
        <f t="shared" si="79"/>
        <v>0.97545119657073698</v>
      </c>
      <c r="CM166" s="40">
        <f t="shared" si="79"/>
        <v>0.94232349093304535</v>
      </c>
      <c r="CN166" s="40">
        <f t="shared" si="79"/>
        <v>0.92921104527468279</v>
      </c>
      <c r="CO166" s="40">
        <f t="shared" si="79"/>
        <v>0.93436335364469225</v>
      </c>
      <c r="CP166" s="40">
        <f t="shared" si="79"/>
        <v>1.0009207046770776</v>
      </c>
      <c r="CQ166" s="40">
        <f t="shared" si="79"/>
        <v>1.0130883416148411</v>
      </c>
      <c r="FN166" s="4"/>
      <c r="FO166" s="4"/>
      <c r="FP166" s="4"/>
      <c r="FQ166" s="4"/>
      <c r="FR166" s="4"/>
      <c r="FS166" s="4"/>
      <c r="FT166" s="4"/>
      <c r="FU166" s="4"/>
    </row>
    <row r="167" spans="1:178" x14ac:dyDescent="0.2">
      <c r="BK167" s="13"/>
      <c r="BN167" s="13"/>
      <c r="CE167" s="7"/>
      <c r="CF167" s="7"/>
      <c r="CG167" s="7"/>
      <c r="CH167" s="7"/>
      <c r="CI167" s="7"/>
      <c r="CJ167" s="7"/>
      <c r="CK167" s="7"/>
      <c r="CL167" s="24"/>
      <c r="CM167" s="24"/>
      <c r="CN167" s="24"/>
      <c r="CO167" s="24"/>
    </row>
    <row r="168" spans="1:178" x14ac:dyDescent="0.2">
      <c r="A168" s="54" t="s">
        <v>236</v>
      </c>
      <c r="BK168" s="13"/>
      <c r="BN168" s="13"/>
      <c r="CE168" s="51"/>
      <c r="CF168" s="51"/>
      <c r="CG168" s="51"/>
      <c r="CH168" s="51"/>
      <c r="CI168" s="51"/>
      <c r="CJ168" s="51"/>
      <c r="CK168" s="51"/>
      <c r="CL168" s="24"/>
      <c r="CM168" s="24"/>
      <c r="CN168" s="24"/>
      <c r="CO168" s="24"/>
    </row>
    <row r="169" spans="1:178" x14ac:dyDescent="0.2">
      <c r="A169" t="s">
        <v>237</v>
      </c>
      <c r="B169" t="s">
        <v>126</v>
      </c>
      <c r="BK169" s="13"/>
      <c r="BN169" s="13"/>
      <c r="CE169" s="56">
        <f>SourcedData!CB75</f>
        <v>0.2</v>
      </c>
      <c r="CF169" s="56">
        <f>SourcedData!CC75</f>
        <v>0.2</v>
      </c>
      <c r="CG169" s="56">
        <f>SourcedData!CD75</f>
        <v>0.2</v>
      </c>
      <c r="CH169" s="56">
        <f>SourcedData!CE75</f>
        <v>0.2</v>
      </c>
      <c r="CI169" s="56">
        <f>SourcedData!CF75</f>
        <v>0.2</v>
      </c>
      <c r="CJ169" s="56">
        <f>SourcedData!CG75</f>
        <v>0.2</v>
      </c>
      <c r="CK169" s="56">
        <f>SourcedData!CH75</f>
        <v>0.2</v>
      </c>
      <c r="CL169" s="56">
        <f>SourcedData!CI75</f>
        <v>0.2</v>
      </c>
      <c r="CM169" s="56">
        <f>SourcedData!CJ75</f>
        <v>0.2</v>
      </c>
      <c r="CN169" s="56">
        <f>SourcedData!CK75</f>
        <v>0.2</v>
      </c>
      <c r="CO169" s="56">
        <f>SourcedData!CL75</f>
        <v>0.2</v>
      </c>
      <c r="CP169" s="56">
        <f>SourcedData!CM75</f>
        <v>0.2</v>
      </c>
      <c r="CQ169" s="56">
        <f>SourcedData!CN75</f>
        <v>0.2</v>
      </c>
      <c r="FN169" s="4" t="s">
        <v>225</v>
      </c>
      <c r="FO169" s="4" t="s">
        <v>225</v>
      </c>
      <c r="FP169" s="4" t="s">
        <v>225</v>
      </c>
      <c r="FQ169" s="4" t="s">
        <v>225</v>
      </c>
      <c r="FR169" s="4" t="s">
        <v>225</v>
      </c>
      <c r="FS169" s="4" t="s">
        <v>225</v>
      </c>
      <c r="FT169" s="4" t="s">
        <v>225</v>
      </c>
      <c r="FU169" s="4" t="s">
        <v>225</v>
      </c>
    </row>
    <row r="170" spans="1:178" x14ac:dyDescent="0.2">
      <c r="A170" t="s">
        <v>226</v>
      </c>
      <c r="B170" t="s">
        <v>85</v>
      </c>
      <c r="BK170" s="13"/>
      <c r="BN170" s="13"/>
      <c r="CE170" s="9">
        <f>CE171/CE172</f>
        <v>0.97471844233666916</v>
      </c>
      <c r="CF170" s="9">
        <f>CF55-CF161</f>
        <v>1.0634326999999999</v>
      </c>
      <c r="CG170" s="9">
        <f>CG171/CG172</f>
        <v>1.0541989396962459</v>
      </c>
      <c r="CH170" s="9">
        <f>CH171/CH172</f>
        <v>1.088869319167056</v>
      </c>
      <c r="CI170" s="9">
        <f>CI55-CI161</f>
        <v>1.0854562999999997</v>
      </c>
      <c r="CJ170" s="9">
        <f t="shared" ref="CJ170:CQ170" si="80">CJ171/CJ172</f>
        <v>1.1068381273055312</v>
      </c>
      <c r="CK170" s="9">
        <f t="shared" si="80"/>
        <v>1.1361113352024004</v>
      </c>
      <c r="CL170" s="9">
        <f t="shared" si="80"/>
        <v>1.0754021220015857</v>
      </c>
      <c r="CM170" s="9">
        <f t="shared" si="80"/>
        <v>1.1809934556028749</v>
      </c>
      <c r="CN170" s="9">
        <f t="shared" si="80"/>
        <v>1.0559093504763883</v>
      </c>
      <c r="CO170" s="9">
        <f t="shared" si="80"/>
        <v>1.1183634307371066</v>
      </c>
      <c r="CP170" s="9">
        <f t="shared" si="80"/>
        <v>1.1033668290080743</v>
      </c>
      <c r="CQ170" s="9">
        <f t="shared" si="80"/>
        <v>0.82760676018093893</v>
      </c>
      <c r="CS170" t="s">
        <v>238</v>
      </c>
    </row>
    <row r="171" spans="1:178" x14ac:dyDescent="0.2">
      <c r="A171" t="s">
        <v>228</v>
      </c>
      <c r="B171" t="s">
        <v>85</v>
      </c>
      <c r="BK171" s="13"/>
      <c r="BN171" s="13"/>
      <c r="CE171" s="9">
        <f t="shared" ref="CE171:CQ171" si="81">CE151-CE162</f>
        <v>0.5589485089923043</v>
      </c>
      <c r="CF171" s="9">
        <f t="shared" si="81"/>
        <v>0.60982135585093644</v>
      </c>
      <c r="CG171" s="9">
        <f t="shared" si="81"/>
        <v>0.60452629183039441</v>
      </c>
      <c r="CH171" s="9">
        <f t="shared" si="81"/>
        <v>0.62440788642190537</v>
      </c>
      <c r="CI171" s="9">
        <f t="shared" si="81"/>
        <v>0.67525126351931331</v>
      </c>
      <c r="CJ171" s="9">
        <f t="shared" si="81"/>
        <v>0.68855267961907884</v>
      </c>
      <c r="CK171" s="9">
        <f t="shared" si="81"/>
        <v>0.70676324288139014</v>
      </c>
      <c r="CL171" s="9">
        <f t="shared" si="81"/>
        <v>0.66899666220825438</v>
      </c>
      <c r="CM171" s="9">
        <f t="shared" si="81"/>
        <v>0.73468395098345418</v>
      </c>
      <c r="CN171" s="9">
        <f t="shared" si="81"/>
        <v>0.65687040839049793</v>
      </c>
      <c r="CO171" s="9">
        <f t="shared" si="81"/>
        <v>0.69572245301724767</v>
      </c>
      <c r="CP171" s="9">
        <f t="shared" si="81"/>
        <v>0.68639322044839624</v>
      </c>
      <c r="CQ171" s="9">
        <f t="shared" si="81"/>
        <v>0.51484570176551969</v>
      </c>
      <c r="CS171" t="s">
        <v>239</v>
      </c>
    </row>
    <row r="172" spans="1:178" x14ac:dyDescent="0.2">
      <c r="A172" t="s">
        <v>240</v>
      </c>
      <c r="B172" t="s">
        <v>126</v>
      </c>
      <c r="BK172" s="13"/>
      <c r="BN172" s="13"/>
      <c r="CE172" s="41">
        <f>CF172</f>
        <v>0.57344612014557805</v>
      </c>
      <c r="CF172" s="57">
        <f>CF171/CF170</f>
        <v>0.57344612014557805</v>
      </c>
      <c r="CG172" s="41">
        <f>CF172</f>
        <v>0.57344612014557805</v>
      </c>
      <c r="CH172" s="41">
        <f>CG172</f>
        <v>0.57344612014557805</v>
      </c>
      <c r="CI172" s="57">
        <f>CI171/CI170</f>
        <v>0.62208977323114112</v>
      </c>
      <c r="CJ172" s="41">
        <f t="shared" ref="CJ172:CQ172" si="82">CI172</f>
        <v>0.62208977323114112</v>
      </c>
      <c r="CK172" s="41">
        <f t="shared" si="82"/>
        <v>0.62208977323114112</v>
      </c>
      <c r="CL172" s="41">
        <f t="shared" si="82"/>
        <v>0.62208977323114112</v>
      </c>
      <c r="CM172" s="41">
        <f t="shared" si="82"/>
        <v>0.62208977323114112</v>
      </c>
      <c r="CN172" s="41">
        <f t="shared" si="82"/>
        <v>0.62208977323114112</v>
      </c>
      <c r="CO172" s="41">
        <f t="shared" si="82"/>
        <v>0.62208977323114112</v>
      </c>
      <c r="CP172" s="41">
        <f t="shared" si="82"/>
        <v>0.62208977323114112</v>
      </c>
      <c r="CQ172" s="41">
        <f t="shared" si="82"/>
        <v>0.62208977323114112</v>
      </c>
      <c r="CS172" t="s">
        <v>241</v>
      </c>
    </row>
    <row r="173" spans="1:178" x14ac:dyDescent="0.2">
      <c r="A173" t="s">
        <v>211</v>
      </c>
      <c r="B173" t="s">
        <v>85</v>
      </c>
      <c r="BJ173" s="7"/>
      <c r="BK173" s="7"/>
      <c r="BM173" s="7"/>
      <c r="BN173" s="7"/>
      <c r="CE173" s="9">
        <f t="shared" ref="CE173:CQ173" si="83">CE$171*CE176</f>
        <v>0.27947425449615215</v>
      </c>
      <c r="CF173" s="9">
        <f t="shared" si="83"/>
        <v>0.30491067792546822</v>
      </c>
      <c r="CG173" s="9">
        <f t="shared" si="83"/>
        <v>0.30226314591519721</v>
      </c>
      <c r="CH173" s="9">
        <f t="shared" si="83"/>
        <v>0.31220394321095268</v>
      </c>
      <c r="CI173" s="9">
        <f t="shared" si="83"/>
        <v>0.33762563175965665</v>
      </c>
      <c r="CJ173" s="9">
        <f t="shared" si="83"/>
        <v>0.34427633980953942</v>
      </c>
      <c r="CK173" s="9">
        <f t="shared" si="83"/>
        <v>0.35338162144069507</v>
      </c>
      <c r="CL173" s="9">
        <f t="shared" si="83"/>
        <v>0.33449833110412719</v>
      </c>
      <c r="CM173" s="9">
        <f t="shared" si="83"/>
        <v>0.73468395098345418</v>
      </c>
      <c r="CN173" s="9">
        <f t="shared" si="83"/>
        <v>0.65687040839049793</v>
      </c>
      <c r="CO173" s="9">
        <f t="shared" si="83"/>
        <v>0.69572245301724767</v>
      </c>
      <c r="CP173" s="9">
        <f t="shared" si="83"/>
        <v>0.68639322044839624</v>
      </c>
      <c r="CQ173" s="9">
        <f t="shared" si="83"/>
        <v>0.51484570176551969</v>
      </c>
      <c r="CS173" t="s">
        <v>231</v>
      </c>
      <c r="CX173" s="4" t="s">
        <v>137</v>
      </c>
      <c r="CY173" s="4" t="s">
        <v>137</v>
      </c>
      <c r="CZ173" s="16"/>
      <c r="DA173" s="4" t="s">
        <v>138</v>
      </c>
      <c r="DB173" s="4" t="s">
        <v>138</v>
      </c>
      <c r="DC173" s="4"/>
      <c r="DD173" s="4"/>
      <c r="DE173" s="4"/>
      <c r="DF173" s="4"/>
      <c r="DG173" s="4"/>
      <c r="DH173" s="4"/>
      <c r="DI173" s="4"/>
      <c r="DJ173" s="4"/>
      <c r="DK173" s="4"/>
    </row>
    <row r="174" spans="1:178" x14ac:dyDescent="0.2">
      <c r="A174" t="s">
        <v>194</v>
      </c>
      <c r="B174" t="s">
        <v>85</v>
      </c>
      <c r="CE174" s="9">
        <f t="shared" ref="CE174:CQ174" si="84">CE171-CE173</f>
        <v>0.27947425449615215</v>
      </c>
      <c r="CF174" s="9">
        <f t="shared" si="84"/>
        <v>0.30491067792546822</v>
      </c>
      <c r="CG174" s="9">
        <f t="shared" si="84"/>
        <v>0.30226314591519721</v>
      </c>
      <c r="CH174" s="9">
        <f t="shared" si="84"/>
        <v>0.31220394321095268</v>
      </c>
      <c r="CI174" s="9">
        <f t="shared" si="84"/>
        <v>0.33762563175965665</v>
      </c>
      <c r="CJ174" s="9">
        <f t="shared" si="84"/>
        <v>0.34427633980953942</v>
      </c>
      <c r="CK174" s="9">
        <f t="shared" si="84"/>
        <v>0.35338162144069507</v>
      </c>
      <c r="CL174" s="9">
        <f t="shared" si="84"/>
        <v>0.33449833110412719</v>
      </c>
      <c r="CM174" s="9">
        <f t="shared" si="84"/>
        <v>0</v>
      </c>
      <c r="CN174" s="9">
        <f t="shared" si="84"/>
        <v>0</v>
      </c>
      <c r="CO174" s="9">
        <f t="shared" si="84"/>
        <v>0</v>
      </c>
      <c r="CP174" s="9">
        <f t="shared" si="84"/>
        <v>0</v>
      </c>
      <c r="CQ174" s="9">
        <f t="shared" si="84"/>
        <v>0</v>
      </c>
      <c r="CS174" t="s">
        <v>242</v>
      </c>
    </row>
    <row r="175" spans="1:178" x14ac:dyDescent="0.2"/>
    <row r="176" spans="1:178" x14ac:dyDescent="0.2">
      <c r="A176" t="s">
        <v>211</v>
      </c>
      <c r="B176" t="s">
        <v>126</v>
      </c>
      <c r="CE176" s="41">
        <f>SourcedData!CB76</f>
        <v>0.5</v>
      </c>
      <c r="CF176" s="41">
        <f>SourcedData!CC76</f>
        <v>0.5</v>
      </c>
      <c r="CG176" s="41">
        <f>SourcedData!CD76</f>
        <v>0.5</v>
      </c>
      <c r="CH176" s="41">
        <f>SourcedData!CE76</f>
        <v>0.5</v>
      </c>
      <c r="CI176" s="41">
        <f>SourcedData!CF76</f>
        <v>0.5</v>
      </c>
      <c r="CJ176" s="41">
        <f>SourcedData!CG76</f>
        <v>0.5</v>
      </c>
      <c r="CK176" s="41">
        <f>SourcedData!CH76</f>
        <v>0.5</v>
      </c>
      <c r="CL176" s="41">
        <f>SourcedData!CI76</f>
        <v>0.5</v>
      </c>
      <c r="CM176" s="41">
        <f>SourcedData!CJ76</f>
        <v>1</v>
      </c>
      <c r="CN176" s="41">
        <f>SourcedData!CK76</f>
        <v>1</v>
      </c>
      <c r="CO176" s="41">
        <f>SourcedData!CL76</f>
        <v>1</v>
      </c>
      <c r="CP176" s="41">
        <f>SourcedData!CM76</f>
        <v>1</v>
      </c>
      <c r="CQ176" s="41">
        <f>SourcedData!CN76</f>
        <v>1</v>
      </c>
      <c r="CS176" t="s">
        <v>243</v>
      </c>
    </row>
    <row r="177" spans="1:178" x14ac:dyDescent="0.2">
      <c r="A177" t="s">
        <v>194</v>
      </c>
      <c r="B177" t="s">
        <v>126</v>
      </c>
      <c r="CE177" s="40">
        <f t="shared" ref="CE177:CQ177" si="85">1-CE176</f>
        <v>0.5</v>
      </c>
      <c r="CF177" s="40">
        <f t="shared" si="85"/>
        <v>0.5</v>
      </c>
      <c r="CG177" s="40">
        <f t="shared" si="85"/>
        <v>0.5</v>
      </c>
      <c r="CH177" s="40">
        <f t="shared" si="85"/>
        <v>0.5</v>
      </c>
      <c r="CI177" s="40">
        <f t="shared" si="85"/>
        <v>0.5</v>
      </c>
      <c r="CJ177" s="40">
        <f t="shared" si="85"/>
        <v>0.5</v>
      </c>
      <c r="CK177" s="40">
        <f t="shared" si="85"/>
        <v>0.5</v>
      </c>
      <c r="CL177" s="40">
        <f t="shared" si="85"/>
        <v>0.5</v>
      </c>
      <c r="CM177" s="40">
        <f t="shared" si="85"/>
        <v>0</v>
      </c>
      <c r="CN177" s="40">
        <f t="shared" si="85"/>
        <v>0</v>
      </c>
      <c r="CO177" s="40">
        <f t="shared" si="85"/>
        <v>0</v>
      </c>
      <c r="CP177" s="40">
        <f t="shared" si="85"/>
        <v>0</v>
      </c>
      <c r="CQ177" s="40">
        <f t="shared" si="85"/>
        <v>0</v>
      </c>
      <c r="CS177" t="s">
        <v>243</v>
      </c>
      <c r="FV177" s="4" t="s">
        <v>244</v>
      </c>
    </row>
    <row r="178" spans="1:178" x14ac:dyDescent="0.2">
      <c r="FV178" s="4"/>
    </row>
    <row r="179" spans="1:178" x14ac:dyDescent="0.2">
      <c r="A179" s="1" t="s">
        <v>245</v>
      </c>
      <c r="FV179" s="4"/>
    </row>
    <row r="180" spans="1:178" x14ac:dyDescent="0.2">
      <c r="A180" t="s">
        <v>246</v>
      </c>
      <c r="CE180" s="57">
        <f t="shared" ref="CE180:CQ180" si="86">(CE173+CE164)/CE151</f>
        <v>0.86848847150615982</v>
      </c>
      <c r="CF180" s="57">
        <f t="shared" si="86"/>
        <v>0.86848847150615971</v>
      </c>
      <c r="CG180" s="57">
        <f t="shared" si="86"/>
        <v>0.86848847150615971</v>
      </c>
      <c r="CH180" s="57">
        <f t="shared" si="86"/>
        <v>0.86848847150615971</v>
      </c>
      <c r="CI180" s="57">
        <f t="shared" si="86"/>
        <v>0.86103328565365556</v>
      </c>
      <c r="CJ180" s="57">
        <f t="shared" si="86"/>
        <v>0.90602698667022907</v>
      </c>
      <c r="CK180" s="57">
        <f t="shared" si="86"/>
        <v>0.92207400463079014</v>
      </c>
      <c r="CL180" s="57">
        <f t="shared" si="86"/>
        <v>0.91145994119310736</v>
      </c>
      <c r="CM180" s="57">
        <f t="shared" si="86"/>
        <v>0.95008620611309758</v>
      </c>
      <c r="CN180" s="57">
        <f t="shared" si="86"/>
        <v>0.93873857220576573</v>
      </c>
      <c r="CO180" s="57">
        <f t="shared" si="86"/>
        <v>0.94319742837065379</v>
      </c>
      <c r="CP180" s="57">
        <f t="shared" si="86"/>
        <v>1.000796786494637</v>
      </c>
      <c r="CQ180" s="57">
        <f t="shared" si="86"/>
        <v>1.011326774041164</v>
      </c>
      <c r="FV180" s="4"/>
    </row>
    <row r="181" spans="1:178" x14ac:dyDescent="0.2">
      <c r="A181" t="s">
        <v>194</v>
      </c>
      <c r="CE181" s="57">
        <f t="shared" ref="CE181:CQ181" si="87">CE174/CE151</f>
        <v>6.269300053843474E-2</v>
      </c>
      <c r="CF181" s="57">
        <f t="shared" si="87"/>
        <v>6.2693000538434754E-2</v>
      </c>
      <c r="CG181" s="57">
        <f t="shared" si="87"/>
        <v>6.2693000538434768E-2</v>
      </c>
      <c r="CH181" s="57">
        <f t="shared" si="87"/>
        <v>6.2693000538434754E-2</v>
      </c>
      <c r="CI181" s="57">
        <f t="shared" si="87"/>
        <v>6.7295293227965569E-2</v>
      </c>
      <c r="CJ181" s="57">
        <f t="shared" si="87"/>
        <v>6.7295293227965597E-2</v>
      </c>
      <c r="CK181" s="57">
        <f t="shared" si="87"/>
        <v>6.7295293227965611E-2</v>
      </c>
      <c r="CL181" s="57">
        <f t="shared" si="87"/>
        <v>6.7295293227965652E-2</v>
      </c>
      <c r="CM181" s="57">
        <f t="shared" si="87"/>
        <v>0</v>
      </c>
      <c r="CN181" s="57">
        <f t="shared" si="87"/>
        <v>0</v>
      </c>
      <c r="CO181" s="57">
        <f t="shared" si="87"/>
        <v>0</v>
      </c>
      <c r="CP181" s="57">
        <f t="shared" si="87"/>
        <v>0</v>
      </c>
      <c r="CQ181" s="57">
        <f t="shared" si="87"/>
        <v>0</v>
      </c>
      <c r="FV181" s="4"/>
    </row>
    <row r="182" spans="1:178" x14ac:dyDescent="0.2">
      <c r="A182" t="s">
        <v>188</v>
      </c>
      <c r="CE182" s="57">
        <f t="shared" ref="CE182:CQ182" si="88">CE163/CE151</f>
        <v>6.881852795540544E-2</v>
      </c>
      <c r="CF182" s="57">
        <f t="shared" si="88"/>
        <v>6.881852795540544E-2</v>
      </c>
      <c r="CG182" s="57">
        <f t="shared" si="88"/>
        <v>6.881852795540544E-2</v>
      </c>
      <c r="CH182" s="57">
        <f t="shared" si="88"/>
        <v>6.8818527955405426E-2</v>
      </c>
      <c r="CI182" s="57">
        <f t="shared" si="88"/>
        <v>7.1671421118378931E-2</v>
      </c>
      <c r="CJ182" s="57">
        <f t="shared" si="88"/>
        <v>2.6677720101805292E-2</v>
      </c>
      <c r="CK182" s="57">
        <f t="shared" si="88"/>
        <v>1.0630702141244236E-2</v>
      </c>
      <c r="CL182" s="57">
        <f t="shared" si="88"/>
        <v>2.1244765578927106E-2</v>
      </c>
      <c r="CM182" s="57">
        <f t="shared" si="88"/>
        <v>4.9913793886902418E-2</v>
      </c>
      <c r="CN182" s="57">
        <f t="shared" si="88"/>
        <v>6.1261427794234352E-2</v>
      </c>
      <c r="CO182" s="57">
        <f t="shared" si="88"/>
        <v>5.6802571629346259E-2</v>
      </c>
      <c r="CP182" s="57">
        <f t="shared" si="88"/>
        <v>-7.9678649463699679E-4</v>
      </c>
      <c r="CQ182" s="57">
        <f t="shared" si="88"/>
        <v>-1.1326774041164091E-2</v>
      </c>
    </row>
    <row r="183" spans="1:178" x14ac:dyDescent="0.2"/>
    <row r="184" spans="1:178" x14ac:dyDescent="0.2">
      <c r="A184" s="54" t="s">
        <v>247</v>
      </c>
    </row>
    <row r="185" spans="1:178" x14ac:dyDescent="0.2">
      <c r="A185" s="55" t="s">
        <v>248</v>
      </c>
      <c r="B185" t="s">
        <v>85</v>
      </c>
      <c r="CJ185">
        <f>SourcedData!CG77</f>
        <v>200</v>
      </c>
      <c r="FS185" s="4" t="s">
        <v>249</v>
      </c>
    </row>
    <row r="186" spans="1:178" x14ac:dyDescent="0.2">
      <c r="A186" s="55" t="s">
        <v>250</v>
      </c>
      <c r="B186" t="s">
        <v>85</v>
      </c>
      <c r="CJ186" s="9">
        <f>((CJ185*CJ161)/(CJ161+CJ170))</f>
        <v>159.99999999999997</v>
      </c>
      <c r="CS186" t="s">
        <v>251</v>
      </c>
    </row>
    <row r="187" spans="1:178" x14ac:dyDescent="0.2">
      <c r="A187" s="55" t="s">
        <v>252</v>
      </c>
      <c r="B187" t="s">
        <v>85</v>
      </c>
      <c r="CJ187" s="9">
        <f>CJ185-CJ186</f>
        <v>40.000000000000028</v>
      </c>
    </row>
    <row r="188" spans="1:178" x14ac:dyDescent="0.2"/>
    <row r="189" spans="1:178" x14ac:dyDescent="0.2"/>
    <row r="190" spans="1:178" x14ac:dyDescent="0.2"/>
    <row r="191" spans="1:178" x14ac:dyDescent="0.2">
      <c r="A191" s="1" t="s">
        <v>253</v>
      </c>
      <c r="BV191" s="1" t="s">
        <v>254</v>
      </c>
      <c r="BW191" s="1"/>
    </row>
    <row r="192" spans="1:178" x14ac:dyDescent="0.2">
      <c r="A192" t="s">
        <v>93</v>
      </c>
      <c r="B192" t="s">
        <v>255</v>
      </c>
      <c r="BN192" s="67">
        <f>SourcedData!BS78</f>
        <v>2113068</v>
      </c>
      <c r="BO192" s="67">
        <f>SourcedData!BT78</f>
        <v>2148974</v>
      </c>
      <c r="BP192" s="67">
        <f>SourcedData!BU78</f>
        <v>2795332</v>
      </c>
      <c r="BQ192" s="67">
        <f>SourcedData!BV78</f>
        <v>3149800</v>
      </c>
      <c r="BR192" s="67">
        <f>SourcedData!BW78</f>
        <v>3245172</v>
      </c>
      <c r="BS192" s="67"/>
      <c r="BT192" s="67"/>
      <c r="BU192" s="67"/>
      <c r="BV192" s="80" t="s">
        <v>256</v>
      </c>
      <c r="BW192" s="80"/>
    </row>
    <row r="193" spans="1:115" x14ac:dyDescent="0.2">
      <c r="A193" t="s">
        <v>98</v>
      </c>
      <c r="B193" t="s">
        <v>255</v>
      </c>
      <c r="BN193" s="67">
        <f>SourcedData!BS79</f>
        <v>422986</v>
      </c>
      <c r="BO193" s="67">
        <f>SourcedData!BT79</f>
        <v>358677</v>
      </c>
      <c r="BP193" s="67">
        <f>SourcedData!BU79</f>
        <v>445646</v>
      </c>
      <c r="BQ193" s="67">
        <f>SourcedData!BV79</f>
        <v>570556</v>
      </c>
      <c r="BR193" s="67">
        <f>SourcedData!BW79</f>
        <v>435649</v>
      </c>
      <c r="BS193" s="67">
        <f>SourcedData!BX79</f>
        <v>432807</v>
      </c>
      <c r="BT193" s="67">
        <f>SourcedData!BY79</f>
        <v>466404</v>
      </c>
      <c r="BU193" s="67"/>
      <c r="BV193" s="80" t="s">
        <v>257</v>
      </c>
      <c r="BW193" s="80"/>
      <c r="CJ193" s="36">
        <f>BN193*SUM(X12:Y12)/SUM(V12:Y12)+BO193*SUM(Z12:AA12)/SUM(Z12:AC12)</f>
        <v>380976.76453762519</v>
      </c>
      <c r="CK193" s="36">
        <f>BO193*SUM(AB12:AC12)/SUM(Z12:AC12)+BP193*SUM(AD12:AE12)/SUM(AD12:AG12)</f>
        <v>397737.53327462147</v>
      </c>
      <c r="CL193" s="36">
        <f>BP193*SUM(AF12:AG12)/SUM(AD12:AG12)+BQ193*SUM(AH12:AI12)/SUM(AH12:AK12)</f>
        <v>515298.79276544333</v>
      </c>
      <c r="CM193" s="36">
        <f>BQ193*SUM(AJ12:AK12)/SUM(AH12:AK12)+BR193*SUM(AL12:AM12)/SUM(AL12:AO12)</f>
        <v>500064.12917382095</v>
      </c>
      <c r="CN193" s="36">
        <f>BR193*SUM(AK12:AL12)/SUM(AI12:AL12)+BS193*SUM(AM12:AN12)/SUM(AM12:AP12)</f>
        <v>418249.09017347358</v>
      </c>
      <c r="CO193" s="36">
        <f>BS193*SUM(AL12:AM12)/SUM(AJ12:AM12)+BT193*SUM(AN12:AO12)/SUM(AN12:AQ12)</f>
        <v>439883.28544189956</v>
      </c>
      <c r="DB193" s="4" t="s">
        <v>258</v>
      </c>
      <c r="DC193" s="4" t="s">
        <v>259</v>
      </c>
      <c r="DD193" s="4" t="s">
        <v>260</v>
      </c>
      <c r="DE193" s="4" t="s">
        <v>261</v>
      </c>
      <c r="DF193" s="4" t="s">
        <v>262</v>
      </c>
      <c r="DG193" s="4" t="s">
        <v>263</v>
      </c>
      <c r="DH193" s="4" t="s">
        <v>264</v>
      </c>
      <c r="DI193" s="79"/>
      <c r="DJ193" s="79"/>
      <c r="DK193" s="79"/>
    </row>
    <row r="194" spans="1:115" x14ac:dyDescent="0.2">
      <c r="A194" t="s">
        <v>105</v>
      </c>
      <c r="B194" t="s">
        <v>255</v>
      </c>
      <c r="BN194" s="67">
        <f>(1020217/25)*28</f>
        <v>1142643.04</v>
      </c>
      <c r="BO194" s="67">
        <f>(1293993/25)*28</f>
        <v>1449272.1600000001</v>
      </c>
      <c r="BP194" s="67">
        <f>(1210677/25)*28</f>
        <v>1355958.24</v>
      </c>
      <c r="BQ194" s="67">
        <f>(1185349/25)*28</f>
        <v>1327590.8799999999</v>
      </c>
      <c r="BR194" s="67">
        <f>SourcedData!BW80</f>
        <v>439896</v>
      </c>
      <c r="BS194" s="67">
        <f>SourcedData!BX80</f>
        <v>775806</v>
      </c>
      <c r="BT194" s="67">
        <f>SourcedData!BY80</f>
        <v>972605</v>
      </c>
      <c r="BU194" s="67"/>
      <c r="BV194" s="80" t="s">
        <v>265</v>
      </c>
      <c r="BW194" s="80"/>
      <c r="CJ194" s="36">
        <f>BN194*SUM(X17:Y17)/SUM(V17:Y17)+BO194*SUM(Z17:AA17)/SUM(Z17:AC17)</f>
        <v>991050.85661578819</v>
      </c>
      <c r="CK194" s="36">
        <f>BO194*SUM(AB17:AC17)/SUM(Z17:AC17)+BP194*SUM(AD17:AE17)/SUM(AD17:AG17)</f>
        <v>1486394.8360564564</v>
      </c>
      <c r="CL194" s="36">
        <f>BP194*SUM(AF17:AG17)/SUM(AD17:AG17)+BQ194*SUM(AH17:AI17)/SUM(AH17:AK17)</f>
        <v>1714310.1743855411</v>
      </c>
      <c r="CM194" s="36">
        <f>BQ194*SUM(AJ17:AK17)/SUM(AH17:AK17)+BR194*SUM(AL17:AM17)/SUM(AL17:AO17)</f>
        <v>862897.62856680155</v>
      </c>
      <c r="CN194" s="36">
        <f>BR194*SUM(AK17:AL17)/SUM(AI17:AL17)+BS194*SUM(AM17:AN17)/SUM(AM17:AP17)</f>
        <v>117430.21643059487</v>
      </c>
      <c r="CO194" s="36">
        <f>BS194*SUM(AL17:AM17)/SUM(AJ17:AM17)+BT194*SUM(AN17:AO17)/SUM(AN17:AQ17)</f>
        <v>3155.6783874175185</v>
      </c>
      <c r="CS194" t="s">
        <v>266</v>
      </c>
      <c r="DB194" s="4" t="s">
        <v>258</v>
      </c>
      <c r="DC194" s="4" t="s">
        <v>259</v>
      </c>
      <c r="DD194" s="4" t="s">
        <v>260</v>
      </c>
      <c r="DE194" s="4" t="s">
        <v>261</v>
      </c>
      <c r="DF194" s="4" t="s">
        <v>262</v>
      </c>
      <c r="DG194" s="4" t="s">
        <v>263</v>
      </c>
      <c r="DH194" s="4" t="s">
        <v>264</v>
      </c>
    </row>
    <row r="195" spans="1:115" x14ac:dyDescent="0.2">
      <c r="A195" t="s">
        <v>104</v>
      </c>
      <c r="B195" t="s">
        <v>255</v>
      </c>
      <c r="BN195" s="67">
        <f>(1359006/25)*28</f>
        <v>1522086.72</v>
      </c>
      <c r="BO195" s="67">
        <f>(2326261/25)*28</f>
        <v>2605412.3200000003</v>
      </c>
      <c r="BP195" s="67">
        <f>(1955239/25)*28</f>
        <v>2189867.6799999997</v>
      </c>
      <c r="BQ195" s="67">
        <f>(2318893/25)*28</f>
        <v>2597160.16</v>
      </c>
      <c r="BR195" s="67">
        <f>SourcedData!BW81</f>
        <v>2529216</v>
      </c>
      <c r="BS195" s="67">
        <f>SourcedData!BX81</f>
        <v>2006377</v>
      </c>
      <c r="BT195" s="67">
        <f>SourcedData!BY81</f>
        <v>2272445</v>
      </c>
      <c r="BU195" s="67"/>
      <c r="BV195" s="80" t="s">
        <v>267</v>
      </c>
      <c r="BW195" s="80"/>
      <c r="CJ195" s="36">
        <f>BN195*SUM(X16:Y16)/SUM(V16:Y16)+BO195*SUM(Z16:AA16)/SUM(Z16:AC16)</f>
        <v>1964846.7856376246</v>
      </c>
      <c r="CK195" s="36">
        <f>BO195*SUM(AB16:AC16)/SUM(Z16:AC16)+BP195*SUM(AD16:AE16)/SUM(AD16:AG16)</f>
        <v>2711318.7503064573</v>
      </c>
      <c r="CL195" s="36">
        <f>BP195*SUM(AF16:AG16)/SUM(AD16:AG16)+BQ195*SUM(AH16:AI16)/SUM(AH16:AK16)</f>
        <v>2746564.059953087</v>
      </c>
      <c r="CM195" s="36">
        <f>BQ195*SUM(AJ16:AK16)/SUM(AH16:AK16)+BR195*SUM(AL16:AM16)/SUM(AL16:AO16)</f>
        <v>2673939.3058873028</v>
      </c>
      <c r="CN195" s="36">
        <f>BR195*SUM(AK16:AL16)/SUM(AI16:AL16)+BS195*SUM(AM16:AN16)/SUM(AM16:AP16)</f>
        <v>2401600.5023903553</v>
      </c>
      <c r="CO195" s="36">
        <f>BS195*SUM(AL16:AM16)/SUM(AJ16:AM16)+BT195*SUM(AN16:AO16)/SUM(AN16:AQ16)</f>
        <v>1942666.18931849</v>
      </c>
      <c r="CS195" t="s">
        <v>266</v>
      </c>
      <c r="DB195" s="4" t="s">
        <v>258</v>
      </c>
      <c r="DC195" s="4" t="s">
        <v>259</v>
      </c>
      <c r="DD195" s="4" t="s">
        <v>260</v>
      </c>
      <c r="DE195" s="4" t="s">
        <v>261</v>
      </c>
      <c r="DF195" s="4" t="s">
        <v>262</v>
      </c>
      <c r="DG195" s="4" t="s">
        <v>263</v>
      </c>
      <c r="DH195" s="4" t="s">
        <v>264</v>
      </c>
    </row>
    <row r="196" spans="1:115" x14ac:dyDescent="0.2">
      <c r="A196" t="s">
        <v>268</v>
      </c>
      <c r="B196" t="s">
        <v>255</v>
      </c>
      <c r="BN196" s="67">
        <f>SourcedData!BS82</f>
        <v>242448</v>
      </c>
      <c r="BO196" s="67">
        <f>SourcedData!BT82</f>
        <v>255299</v>
      </c>
      <c r="BP196" s="67">
        <f>SourcedData!BU82</f>
        <v>250023</v>
      </c>
      <c r="BQ196" s="67">
        <f>SourcedData!BV82</f>
        <v>246250</v>
      </c>
      <c r="BR196" s="67">
        <f>SourcedData!BW82</f>
        <v>253099</v>
      </c>
      <c r="BS196" s="67">
        <f>SourcedData!BX82</f>
        <v>241538</v>
      </c>
      <c r="BT196" s="67">
        <f>SourcedData!BY82</f>
        <v>258143</v>
      </c>
      <c r="BU196" s="67"/>
      <c r="BV196" s="80" t="s">
        <v>269</v>
      </c>
      <c r="BW196" s="80"/>
      <c r="CE196" s="35"/>
      <c r="CF196" s="35"/>
      <c r="CG196" s="35"/>
      <c r="CH196" s="35"/>
      <c r="CI196" s="35"/>
      <c r="CJ196" s="36">
        <f>BN196*SUM(X17:Y17)/SUM(V17:Y17)+BO196*SUM(Z17:AA17)/SUM(Z17:AC17)</f>
        <v>191942.0243714563</v>
      </c>
      <c r="DB196" s="4" t="s">
        <v>258</v>
      </c>
      <c r="DC196" s="4" t="s">
        <v>259</v>
      </c>
      <c r="DD196" s="4" t="s">
        <v>260</v>
      </c>
      <c r="DE196" s="4" t="s">
        <v>261</v>
      </c>
      <c r="DF196" s="4" t="s">
        <v>262</v>
      </c>
      <c r="DG196" s="4" t="s">
        <v>263</v>
      </c>
      <c r="DH196" s="4" t="s">
        <v>264</v>
      </c>
    </row>
    <row r="197" spans="1:115" x14ac:dyDescent="0.2">
      <c r="A197" t="s">
        <v>122</v>
      </c>
      <c r="B197" t="s">
        <v>255</v>
      </c>
      <c r="BN197" s="67">
        <f>SourcedData!BS83</f>
        <v>210118</v>
      </c>
      <c r="BO197" s="67">
        <f>SourcedData!BT83</f>
        <v>278642</v>
      </c>
      <c r="BP197" s="67">
        <f>SourcedData!BU83</f>
        <v>247922</v>
      </c>
      <c r="BQ197" s="67">
        <f>SourcedData!BV83</f>
        <v>300794</v>
      </c>
      <c r="BR197" s="67">
        <f>SourcedData!BW83</f>
        <v>393671</v>
      </c>
      <c r="BS197" s="67">
        <f>SourcedData!BX83</f>
        <v>369934</v>
      </c>
      <c r="BT197" s="67">
        <f>SourcedData!BY83</f>
        <v>312954</v>
      </c>
      <c r="BU197" s="67"/>
      <c r="BV197" s="80" t="s">
        <v>270</v>
      </c>
      <c r="BW197" s="80"/>
      <c r="CJ197" s="75"/>
      <c r="CK197" s="78"/>
      <c r="CL197" s="75"/>
      <c r="DB197" s="4" t="s">
        <v>258</v>
      </c>
      <c r="DC197" s="4" t="s">
        <v>259</v>
      </c>
      <c r="DD197" s="4" t="s">
        <v>260</v>
      </c>
      <c r="DE197" s="4" t="s">
        <v>261</v>
      </c>
      <c r="DF197" s="4" t="s">
        <v>262</v>
      </c>
      <c r="DG197" s="4" t="s">
        <v>263</v>
      </c>
      <c r="DH197" s="4" t="s">
        <v>264</v>
      </c>
    </row>
    <row r="198" spans="1:115" x14ac:dyDescent="0.2">
      <c r="CI198" s="75"/>
      <c r="CJ198" s="75"/>
      <c r="CK198" s="35"/>
      <c r="CL198" s="75"/>
    </row>
    <row r="199" spans="1:115" x14ac:dyDescent="0.2">
      <c r="A199" s="1" t="s">
        <v>271</v>
      </c>
    </row>
    <row r="200" spans="1:115" x14ac:dyDescent="0.2">
      <c r="A200" t="s">
        <v>93</v>
      </c>
      <c r="B200" t="s">
        <v>272</v>
      </c>
    </row>
    <row r="201" spans="1:115" x14ac:dyDescent="0.2">
      <c r="A201" t="s">
        <v>98</v>
      </c>
      <c r="B201" t="s">
        <v>272</v>
      </c>
      <c r="BN201" s="74">
        <f t="shared" ref="BN201:BS201" si="89">BN193/BN47/1000000</f>
        <v>3.5027332160527544E-2</v>
      </c>
      <c r="BO201" s="74">
        <f t="shared" si="89"/>
        <v>4.2521316554810375E-2</v>
      </c>
      <c r="BP201" s="74">
        <f t="shared" si="89"/>
        <v>4.6759333483865489E-2</v>
      </c>
      <c r="BQ201" s="74">
        <f t="shared" si="89"/>
        <v>5.4889094506376614E-2</v>
      </c>
      <c r="BR201" s="74">
        <f t="shared" si="89"/>
        <v>4.7516412369020079E-2</v>
      </c>
      <c r="BS201" s="74">
        <f t="shared" si="89"/>
        <v>7.094036090488802E-2</v>
      </c>
    </row>
    <row r="202" spans="1:115" x14ac:dyDescent="0.2">
      <c r="A202" t="s">
        <v>105</v>
      </c>
      <c r="B202" t="s">
        <v>272</v>
      </c>
      <c r="BN202" s="74">
        <f t="shared" ref="BN202:BS202" si="90">BN194/BN57/1000000</f>
        <v>0.30973297447658971</v>
      </c>
      <c r="BO202" s="74">
        <f t="shared" si="90"/>
        <v>0.25367086985767517</v>
      </c>
      <c r="BP202" s="74">
        <f t="shared" si="90"/>
        <v>0.22264841550232409</v>
      </c>
      <c r="BQ202" s="74">
        <f t="shared" si="90"/>
        <v>0.23723247369624884</v>
      </c>
      <c r="BR202" s="74">
        <f t="shared" si="90"/>
        <v>88.52807405916684</v>
      </c>
      <c r="BS202" s="74">
        <f t="shared" si="90"/>
        <v>0.47485863914082954</v>
      </c>
      <c r="CJ202" s="35"/>
    </row>
    <row r="203" spans="1:115" x14ac:dyDescent="0.2">
      <c r="A203" t="s">
        <v>104</v>
      </c>
      <c r="B203" t="s">
        <v>272</v>
      </c>
      <c r="BN203" s="74">
        <f t="shared" ref="BN203:BS203" si="91">BN195/BN48/1000000</f>
        <v>0.19680930045520872</v>
      </c>
      <c r="BO203" s="74">
        <f t="shared" si="91"/>
        <v>0.27804354486661842</v>
      </c>
      <c r="BP203" s="74">
        <f t="shared" si="91"/>
        <v>0.29291519458970328</v>
      </c>
      <c r="BQ203" s="74">
        <f t="shared" si="91"/>
        <v>0.34140551281348513</v>
      </c>
      <c r="BR203" s="74">
        <f t="shared" si="91"/>
        <v>0.43843238013781444</v>
      </c>
      <c r="BS203" s="74">
        <f t="shared" si="91"/>
        <v>0.55068431489601122</v>
      </c>
    </row>
    <row r="204" spans="1:115" x14ac:dyDescent="0.2">
      <c r="A204" t="s">
        <v>268</v>
      </c>
      <c r="B204" t="s">
        <v>272</v>
      </c>
      <c r="BN204" s="74">
        <f t="shared" ref="BN204:BS205" si="92">BN196/BN55/1000000</f>
        <v>4.5949075609548092E-2</v>
      </c>
      <c r="BO204" s="74">
        <f t="shared" si="92"/>
        <v>4.8761839785882548E-2</v>
      </c>
      <c r="BP204" s="74">
        <f t="shared" si="92"/>
        <v>5.3280157524277526E-2</v>
      </c>
      <c r="BQ204" s="74">
        <f t="shared" si="92"/>
        <v>5.2146464967316605E-2</v>
      </c>
      <c r="BR204" s="74">
        <f t="shared" si="92"/>
        <v>4.524949896395937E-2</v>
      </c>
      <c r="BS204" s="74">
        <f t="shared" si="92"/>
        <v>4.8663368151884795E-2</v>
      </c>
    </row>
    <row r="205" spans="1:115" x14ac:dyDescent="0.2">
      <c r="A205" t="s">
        <v>122</v>
      </c>
      <c r="B205" t="s">
        <v>272</v>
      </c>
      <c r="BN205" s="74">
        <f t="shared" si="92"/>
        <v>1.9498818431996853E-2</v>
      </c>
      <c r="BO205" s="74">
        <f t="shared" si="92"/>
        <v>2.4126937397177247E-2</v>
      </c>
      <c r="BP205" s="74">
        <f t="shared" si="92"/>
        <v>2.3683798242262133E-2</v>
      </c>
      <c r="BQ205" s="74">
        <f t="shared" si="92"/>
        <v>3.6552895939072107E-2</v>
      </c>
      <c r="BR205" s="74">
        <f t="shared" si="92"/>
        <v>4.1584704152206373E-2</v>
      </c>
      <c r="BS205" s="74">
        <f t="shared" si="92"/>
        <v>3.3149669322339301E-2</v>
      </c>
    </row>
    <row r="206" spans="1:115" x14ac:dyDescent="0.2"/>
    <row r="207" spans="1:115" x14ac:dyDescent="0.2"/>
    <row r="208" spans="1:115" ht="15" customHeight="1" x14ac:dyDescent="0.2">
      <c r="A208" s="95" t="s">
        <v>273</v>
      </c>
    </row>
    <row r="209" spans="1:179" ht="15" customHeight="1" x14ac:dyDescent="0.2">
      <c r="A209" t="s">
        <v>274</v>
      </c>
      <c r="B209" t="s">
        <v>275</v>
      </c>
      <c r="CH209" s="63">
        <f>SourcedData!CE84</f>
        <v>94</v>
      </c>
      <c r="CI209" s="63">
        <f>SourcedData!CF84</f>
        <v>119</v>
      </c>
      <c r="CJ209" s="63">
        <f>SourcedData!CG84</f>
        <v>187</v>
      </c>
      <c r="CK209" s="63">
        <f>SourcedData!CH84</f>
        <v>194</v>
      </c>
      <c r="CL209" s="63">
        <f>SourcedData!CI84</f>
        <v>171</v>
      </c>
      <c r="CM209" s="63">
        <f>SourcedData!CJ84</f>
        <v>112</v>
      </c>
      <c r="CN209" s="63">
        <f>SourcedData!CK84</f>
        <v>211</v>
      </c>
      <c r="CO209" s="63">
        <f>SourcedData!CL84</f>
        <v>310</v>
      </c>
      <c r="FQ209" s="4" t="s">
        <v>276</v>
      </c>
      <c r="FR209" s="4" t="s">
        <v>276</v>
      </c>
      <c r="FS209" s="4" t="s">
        <v>277</v>
      </c>
      <c r="FT209" s="4" t="s">
        <v>277</v>
      </c>
      <c r="FU209" s="4" t="s">
        <v>278</v>
      </c>
      <c r="FV209" s="4" t="s">
        <v>278</v>
      </c>
      <c r="FW209" s="4" t="s">
        <v>279</v>
      </c>
    </row>
    <row r="210" spans="1:179" ht="15" customHeight="1" x14ac:dyDescent="0.2">
      <c r="A210" t="s">
        <v>211</v>
      </c>
      <c r="B210" t="s">
        <v>275</v>
      </c>
      <c r="CH210" s="63">
        <f>SourcedData!CE85</f>
        <v>77</v>
      </c>
      <c r="CI210" s="63">
        <f>SourcedData!CF85</f>
        <v>77</v>
      </c>
      <c r="CJ210" s="63">
        <f>SourcedData!CG85</f>
        <v>125</v>
      </c>
      <c r="CK210" s="63">
        <f>SourcedData!CH85</f>
        <v>128</v>
      </c>
      <c r="CL210" s="63">
        <f>SourcedData!CI85</f>
        <v>110</v>
      </c>
      <c r="CM210" s="63">
        <f>SourcedData!CJ85</f>
        <v>84</v>
      </c>
      <c r="CN210" s="63">
        <f>SourcedData!CK85</f>
        <v>138</v>
      </c>
      <c r="CO210" s="63">
        <f>SourcedData!CL85</f>
        <v>271</v>
      </c>
      <c r="FQ210" s="4" t="s">
        <v>276</v>
      </c>
      <c r="FR210" s="4" t="s">
        <v>276</v>
      </c>
      <c r="FS210" s="4" t="s">
        <v>277</v>
      </c>
      <c r="FT210" s="4" t="s">
        <v>277</v>
      </c>
      <c r="FU210" s="4" t="s">
        <v>278</v>
      </c>
      <c r="FV210" s="4" t="s">
        <v>278</v>
      </c>
      <c r="FW210" s="4" t="s">
        <v>279</v>
      </c>
    </row>
    <row r="211" spans="1:179" ht="15" customHeight="1" x14ac:dyDescent="0.2">
      <c r="A211" s="95" t="s">
        <v>280</v>
      </c>
      <c r="CH211" s="63"/>
      <c r="CI211" s="63"/>
      <c r="CJ211" s="63"/>
      <c r="CK211" s="63"/>
      <c r="CL211" s="63"/>
      <c r="CM211" s="63"/>
      <c r="CN211" s="63"/>
    </row>
    <row r="212" spans="1:179" ht="15" customHeight="1" x14ac:dyDescent="0.2">
      <c r="A212" t="s">
        <v>274</v>
      </c>
      <c r="B212" t="s">
        <v>275</v>
      </c>
      <c r="CH212" s="63">
        <f>SourcedData!CE86</f>
        <v>91.705960000000005</v>
      </c>
      <c r="CI212" s="63">
        <f>SourcedData!CF86</f>
        <v>141.0873</v>
      </c>
      <c r="CJ212" s="63">
        <f>SourcedData!CG86</f>
        <v>188.57060000000001</v>
      </c>
      <c r="CK212" s="63">
        <f>SourcedData!CH86</f>
        <v>207.09639999999999</v>
      </c>
      <c r="CL212" s="63">
        <f>SourcedData!CI86</f>
        <v>171.95</v>
      </c>
      <c r="CM212" s="63">
        <f>SourcedData!CJ86</f>
        <v>125.4196</v>
      </c>
      <c r="CN212" s="63">
        <f>SourcedData!CK86</f>
        <v>224.26840000000001</v>
      </c>
      <c r="CO212" s="63">
        <f>SourcedData!CL86</f>
        <v>371.05079999999998</v>
      </c>
    </row>
    <row r="213" spans="1:179" ht="15" customHeight="1" x14ac:dyDescent="0.2">
      <c r="A213" t="s">
        <v>211</v>
      </c>
      <c r="B213" t="s">
        <v>275</v>
      </c>
      <c r="CH213" s="63">
        <f>SourcedData!CE87</f>
        <v>81.157250000000005</v>
      </c>
      <c r="CI213" s="63">
        <f>SourcedData!CF87</f>
        <v>90.96481</v>
      </c>
      <c r="CJ213" s="63">
        <f>SourcedData!CG87</f>
        <v>135.9076</v>
      </c>
      <c r="CK213" s="63">
        <f>SourcedData!CH87</f>
        <v>146.98599999999999</v>
      </c>
      <c r="CL213" s="63">
        <f>SourcedData!CI87</f>
        <v>123.148</v>
      </c>
      <c r="CM213" s="63">
        <f>SourcedData!CJ87</f>
        <v>91.994</v>
      </c>
      <c r="CN213" s="63">
        <f>SourcedData!CK87</f>
        <v>154.58000000000001</v>
      </c>
      <c r="CO213" s="63">
        <f>SourcedData!CL87</f>
        <v>294.96499999999997</v>
      </c>
      <c r="CQ213" s="96"/>
      <c r="CR213" s="96"/>
    </row>
    <row r="214" spans="1:179" ht="15" customHeight="1" x14ac:dyDescent="0.2">
      <c r="A214" s="95" t="s">
        <v>281</v>
      </c>
      <c r="CQ214" s="96"/>
      <c r="CR214" s="96"/>
    </row>
    <row r="215" spans="1:179" ht="15" customHeight="1" x14ac:dyDescent="0.2">
      <c r="A215" t="s">
        <v>274</v>
      </c>
      <c r="B215" t="s">
        <v>275</v>
      </c>
      <c r="CH215" s="52">
        <f t="shared" ref="CH215:CO216" si="93">CH209/CH212</f>
        <v>1.0250151680436037</v>
      </c>
      <c r="CI215" s="52">
        <f t="shared" si="93"/>
        <v>0.84344941040051091</v>
      </c>
      <c r="CJ215" s="52">
        <f t="shared" si="93"/>
        <v>0.99167102400904483</v>
      </c>
      <c r="CK215" s="52">
        <f t="shared" si="93"/>
        <v>0.93676181720203733</v>
      </c>
      <c r="CL215" s="52">
        <f t="shared" si="93"/>
        <v>0.99447513812154698</v>
      </c>
      <c r="CM215" s="52">
        <f t="shared" si="93"/>
        <v>0.89300236964557367</v>
      </c>
      <c r="CN215" s="52">
        <f t="shared" si="93"/>
        <v>0.94083696142657636</v>
      </c>
      <c r="CO215" s="52">
        <f t="shared" si="93"/>
        <v>0.83546511690582537</v>
      </c>
      <c r="CQ215" s="96"/>
      <c r="CR215" s="96"/>
    </row>
    <row r="216" spans="1:179" ht="15" customHeight="1" x14ac:dyDescent="0.2">
      <c r="A216" t="s">
        <v>211</v>
      </c>
      <c r="B216" t="s">
        <v>275</v>
      </c>
      <c r="CH216" s="52">
        <f t="shared" si="93"/>
        <v>0.94877537126997269</v>
      </c>
      <c r="CI216" s="52">
        <f t="shared" si="93"/>
        <v>0.84648118321799382</v>
      </c>
      <c r="CJ216" s="52">
        <f t="shared" si="93"/>
        <v>0.91974253095485459</v>
      </c>
      <c r="CK216" s="52">
        <f t="shared" si="93"/>
        <v>0.870831235627883</v>
      </c>
      <c r="CL216" s="52">
        <f t="shared" si="93"/>
        <v>0.89323415727417421</v>
      </c>
      <c r="CM216" s="52">
        <f t="shared" si="93"/>
        <v>0.91310302845837776</v>
      </c>
      <c r="CN216" s="52">
        <f t="shared" si="93"/>
        <v>0.89274162246086164</v>
      </c>
      <c r="CO216" s="52">
        <f t="shared" si="93"/>
        <v>0.91875307239842019</v>
      </c>
    </row>
    <row r="217" spans="1:179" ht="15" customHeight="1" x14ac:dyDescent="0.2">
      <c r="A217" s="95" t="s">
        <v>282</v>
      </c>
    </row>
    <row r="218" spans="1:179" ht="15" customHeight="1" x14ac:dyDescent="0.2">
      <c r="A218" t="s">
        <v>210</v>
      </c>
      <c r="B218" t="s">
        <v>85</v>
      </c>
      <c r="BI218" s="100">
        <f>SourcedData!BN88</f>
        <v>5.7482420000000003</v>
      </c>
      <c r="BJ218" s="100">
        <f>SourcedData!BO88</f>
        <v>5.3680409999999998</v>
      </c>
      <c r="BK218" s="100">
        <f>SourcedData!BP88</f>
        <v>5.0825370000000003</v>
      </c>
      <c r="BL218" s="100">
        <f>SourcedData!BQ88</f>
        <v>4.8900090000000001</v>
      </c>
      <c r="BM218" s="100">
        <f>SourcedData!BR88</f>
        <v>3.8111090000000001</v>
      </c>
      <c r="BN218" s="100">
        <f>SourcedData!BS88</f>
        <v>2.7645179999999998</v>
      </c>
      <c r="BO218" s="100">
        <f>SourcedData!BT88</f>
        <v>2.7149930000000002</v>
      </c>
      <c r="BP218" s="100">
        <f>SourcedData!BU88</f>
        <v>3.1103679999999998</v>
      </c>
      <c r="BQ218" s="100">
        <f>SourcedData!BV88</f>
        <v>3.584946</v>
      </c>
      <c r="BR218" s="100">
        <f>SourcedData!BW88</f>
        <v>2.9779360000000001</v>
      </c>
      <c r="BS218" s="100">
        <f>SourcedData!BX88</f>
        <v>2.110922</v>
      </c>
      <c r="BT218" s="100">
        <f>SourcedData!BY88</f>
        <v>0.84017699999999995</v>
      </c>
      <c r="BU218" s="100">
        <f>SourcedData!BZ88</f>
        <v>0.96540700000000002</v>
      </c>
      <c r="BV218" s="100">
        <f>SourcedData!CA88</f>
        <v>1.531223</v>
      </c>
      <c r="CE218" s="59">
        <f t="shared" ref="CE218:CQ219" si="94">(SUM(BI218:BJ218)/2)</f>
        <v>5.5581414999999996</v>
      </c>
      <c r="CF218" s="59">
        <f t="shared" si="94"/>
        <v>5.2252890000000001</v>
      </c>
      <c r="CG218" s="59">
        <f t="shared" si="94"/>
        <v>4.9862730000000006</v>
      </c>
      <c r="CH218" s="59">
        <f t="shared" si="94"/>
        <v>4.3505590000000005</v>
      </c>
      <c r="CI218" s="59">
        <f t="shared" si="94"/>
        <v>3.2878134999999999</v>
      </c>
      <c r="CJ218" s="59">
        <f t="shared" si="94"/>
        <v>2.7397555000000002</v>
      </c>
      <c r="CK218" s="59">
        <f t="shared" si="94"/>
        <v>2.9126805</v>
      </c>
      <c r="CL218" s="59">
        <f t="shared" si="94"/>
        <v>3.3476569999999999</v>
      </c>
      <c r="CM218" s="59">
        <f t="shared" si="94"/>
        <v>3.2814410000000001</v>
      </c>
      <c r="CN218" s="59">
        <f t="shared" si="94"/>
        <v>2.5444290000000001</v>
      </c>
      <c r="CO218" s="59">
        <f t="shared" si="94"/>
        <v>1.4755495000000001</v>
      </c>
      <c r="CP218" s="59">
        <f t="shared" si="94"/>
        <v>0.90279200000000004</v>
      </c>
      <c r="CQ218" s="59">
        <f t="shared" si="94"/>
        <v>1.2483150000000001</v>
      </c>
      <c r="CW218" s="4" t="s">
        <v>142</v>
      </c>
      <c r="CX218" s="4" t="s">
        <v>142</v>
      </c>
      <c r="CY218" s="4" t="s">
        <v>142</v>
      </c>
      <c r="CZ218" s="4" t="s">
        <v>142</v>
      </c>
      <c r="DA218" s="4" t="s">
        <v>142</v>
      </c>
      <c r="DB218" s="4" t="s">
        <v>142</v>
      </c>
      <c r="DC218" s="4" t="s">
        <v>142</v>
      </c>
      <c r="DD218" s="4" t="s">
        <v>142</v>
      </c>
      <c r="DE218" s="4" t="s">
        <v>142</v>
      </c>
      <c r="DF218" s="4" t="s">
        <v>142</v>
      </c>
      <c r="DG218" s="4" t="s">
        <v>142</v>
      </c>
      <c r="DH218" s="4" t="s">
        <v>142</v>
      </c>
      <c r="DI218" s="4" t="s">
        <v>142</v>
      </c>
      <c r="DJ218" s="4" t="s">
        <v>143</v>
      </c>
      <c r="DK218" s="4"/>
    </row>
    <row r="219" spans="1:179" ht="15" customHeight="1" x14ac:dyDescent="0.2">
      <c r="A219" t="s">
        <v>220</v>
      </c>
      <c r="B219" t="s">
        <v>85</v>
      </c>
      <c r="BI219" s="100">
        <f>SourcedData!BN89</f>
        <v>7.5178999999999996E-2</v>
      </c>
      <c r="BJ219" s="100"/>
      <c r="BK219" s="100"/>
      <c r="BL219" s="100">
        <f>SourcedData!BQ89</f>
        <v>0.17553299999999999</v>
      </c>
      <c r="BM219" s="100">
        <f>SourcedData!BR89</f>
        <v>0.57729799999999998</v>
      </c>
      <c r="BN219" s="100">
        <f>SourcedData!BS89</f>
        <v>0.35175499999999998</v>
      </c>
      <c r="BO219" s="100">
        <f>SourcedData!BT89</f>
        <v>0.40041100000000002</v>
      </c>
      <c r="BP219" s="100">
        <f>SourcedData!BU89</f>
        <v>0.40041100000000002</v>
      </c>
      <c r="BQ219" s="100">
        <f>SourcedData!BV89</f>
        <v>0.57342800000000005</v>
      </c>
      <c r="BR219" s="100">
        <f>SourcedData!BW89</f>
        <v>0.66184699999999996</v>
      </c>
      <c r="BS219" s="100">
        <f>SourcedData!BX89</f>
        <v>0.39426</v>
      </c>
      <c r="BT219" s="100">
        <f>SourcedData!BY89</f>
        <v>0.401758</v>
      </c>
      <c r="BU219" s="100">
        <f>SourcedData!BZ89</f>
        <v>0.33975100000000003</v>
      </c>
      <c r="BV219" s="100">
        <f>SourcedData!CA89</f>
        <v>0.54031899999999999</v>
      </c>
      <c r="CE219" s="59">
        <f t="shared" si="94"/>
        <v>3.7589499999999998E-2</v>
      </c>
      <c r="CF219" s="59">
        <f t="shared" si="94"/>
        <v>0</v>
      </c>
      <c r="CG219" s="59">
        <f t="shared" si="94"/>
        <v>8.7766499999999997E-2</v>
      </c>
      <c r="CH219" s="59">
        <f t="shared" si="94"/>
        <v>0.37641550000000001</v>
      </c>
      <c r="CI219" s="59">
        <f t="shared" si="94"/>
        <v>0.46452649999999995</v>
      </c>
      <c r="CJ219" s="59">
        <f t="shared" si="94"/>
        <v>0.376083</v>
      </c>
      <c r="CK219" s="59">
        <f t="shared" si="94"/>
        <v>0.40041100000000002</v>
      </c>
      <c r="CL219" s="59">
        <f t="shared" si="94"/>
        <v>0.48691950000000006</v>
      </c>
      <c r="CM219" s="59">
        <f t="shared" si="94"/>
        <v>0.61763750000000006</v>
      </c>
      <c r="CN219" s="59">
        <f t="shared" si="94"/>
        <v>0.52805349999999995</v>
      </c>
      <c r="CO219" s="59">
        <f t="shared" si="94"/>
        <v>0.398009</v>
      </c>
      <c r="CP219" s="59">
        <f t="shared" si="94"/>
        <v>0.37075449999999999</v>
      </c>
      <c r="CQ219" s="59">
        <f t="shared" si="94"/>
        <v>0.44003500000000001</v>
      </c>
      <c r="CW219" s="4" t="s">
        <v>142</v>
      </c>
      <c r="CX219" s="4" t="s">
        <v>142</v>
      </c>
      <c r="CY219" s="4" t="s">
        <v>142</v>
      </c>
      <c r="CZ219" s="4" t="s">
        <v>142</v>
      </c>
      <c r="DA219" s="4" t="s">
        <v>142</v>
      </c>
      <c r="DB219" s="4" t="s">
        <v>142</v>
      </c>
      <c r="DC219" s="4" t="s">
        <v>142</v>
      </c>
      <c r="DD219" s="4" t="s">
        <v>142</v>
      </c>
      <c r="DE219" s="4" t="s">
        <v>142</v>
      </c>
      <c r="DF219" s="4" t="s">
        <v>142</v>
      </c>
      <c r="DG219" s="4" t="s">
        <v>142</v>
      </c>
      <c r="DH219" s="4" t="s">
        <v>142</v>
      </c>
      <c r="DI219" s="4" t="s">
        <v>142</v>
      </c>
      <c r="DJ219" s="4" t="s">
        <v>143</v>
      </c>
      <c r="DK219" s="4"/>
    </row>
    <row r="220" spans="1:179" ht="15" customHeight="1" x14ac:dyDescent="0.2">
      <c r="A220" t="s">
        <v>211</v>
      </c>
      <c r="B220" t="s">
        <v>85</v>
      </c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100">
        <f>SourcedData!BX90</f>
        <v>0.12939700000000001</v>
      </c>
      <c r="BT220" s="100">
        <f>SourcedData!BY90</f>
        <v>2.0451589999999999</v>
      </c>
      <c r="BU220" s="100">
        <f>SourcedData!BZ90</f>
        <v>1.7296670000000001</v>
      </c>
      <c r="BV220" s="100">
        <f>SourcedData!CA90</f>
        <v>1.6742680000000001</v>
      </c>
      <c r="CE220" s="12"/>
      <c r="CF220" s="12"/>
      <c r="CG220" s="12"/>
      <c r="CH220" s="12"/>
      <c r="CI220" s="12"/>
      <c r="CJ220" s="12"/>
      <c r="CK220" s="12"/>
      <c r="CL220" s="12"/>
      <c r="CM220" s="12"/>
      <c r="CN220" s="59">
        <f>SUM(BR220:BS220)/2</f>
        <v>6.4698500000000006E-2</v>
      </c>
      <c r="CO220" s="59">
        <f>SUM(BS220:BT220)/2</f>
        <v>1.087278</v>
      </c>
      <c r="CP220" s="59">
        <f>SUM(BT220:BU220)/2</f>
        <v>1.887413</v>
      </c>
      <c r="CQ220" s="59">
        <f>SUM(BU220:BV220)/2</f>
        <v>1.7019675000000001</v>
      </c>
      <c r="CW220" s="4" t="s">
        <v>142</v>
      </c>
      <c r="CX220" s="4" t="s">
        <v>142</v>
      </c>
      <c r="CY220" s="4" t="s">
        <v>142</v>
      </c>
      <c r="CZ220" s="4" t="s">
        <v>142</v>
      </c>
      <c r="DA220" s="4" t="s">
        <v>142</v>
      </c>
      <c r="DB220" s="4" t="s">
        <v>142</v>
      </c>
      <c r="DC220" s="4" t="s">
        <v>142</v>
      </c>
      <c r="DD220" s="4" t="s">
        <v>142</v>
      </c>
      <c r="DE220" s="4" t="s">
        <v>142</v>
      </c>
      <c r="DF220" s="4" t="s">
        <v>142</v>
      </c>
      <c r="DG220" s="4" t="s">
        <v>142</v>
      </c>
      <c r="DH220" s="4" t="s">
        <v>142</v>
      </c>
      <c r="DI220" s="4" t="s">
        <v>142</v>
      </c>
      <c r="DJ220" s="4" t="s">
        <v>143</v>
      </c>
      <c r="DK220" s="4"/>
    </row>
    <row r="221" spans="1:179" ht="15" customHeight="1" x14ac:dyDescent="0.2">
      <c r="A221" t="s">
        <v>248</v>
      </c>
      <c r="B221" t="s">
        <v>85</v>
      </c>
      <c r="CE221" s="59">
        <f t="shared" ref="CE221:CQ221" si="95">SUM(CE218:CE220)</f>
        <v>5.5957309999999998</v>
      </c>
      <c r="CF221" s="59">
        <f t="shared" si="95"/>
        <v>5.2252890000000001</v>
      </c>
      <c r="CG221" s="59">
        <f t="shared" si="95"/>
        <v>5.0740395000000005</v>
      </c>
      <c r="CH221" s="59">
        <f t="shared" si="95"/>
        <v>4.7269745000000007</v>
      </c>
      <c r="CI221" s="59">
        <f t="shared" si="95"/>
        <v>3.7523399999999998</v>
      </c>
      <c r="CJ221" s="59">
        <f t="shared" si="95"/>
        <v>3.1158385000000002</v>
      </c>
      <c r="CK221" s="59">
        <f t="shared" si="95"/>
        <v>3.3130915000000001</v>
      </c>
      <c r="CL221" s="59">
        <f t="shared" si="95"/>
        <v>3.8345764999999998</v>
      </c>
      <c r="CM221" s="59">
        <f t="shared" si="95"/>
        <v>3.8990784999999999</v>
      </c>
      <c r="CN221" s="59">
        <f t="shared" si="95"/>
        <v>3.137181</v>
      </c>
      <c r="CO221" s="59">
        <f t="shared" si="95"/>
        <v>2.9608365000000001</v>
      </c>
      <c r="CP221" s="59">
        <f t="shared" si="95"/>
        <v>3.1609595000000001</v>
      </c>
      <c r="CQ221" s="59">
        <f t="shared" si="95"/>
        <v>3.3903175000000001</v>
      </c>
    </row>
    <row r="222" spans="1:179" ht="15" customHeight="1" x14ac:dyDescent="0.2">
      <c r="CH222" s="96"/>
      <c r="CI222" s="96"/>
      <c r="CJ222" s="96"/>
      <c r="CK222" s="96"/>
      <c r="CL222" s="96"/>
      <c r="CM222" s="96"/>
      <c r="CN222" s="96"/>
    </row>
    <row r="223" spans="1:179" ht="15" customHeight="1" x14ac:dyDescent="0.2">
      <c r="A223" t="s">
        <v>283</v>
      </c>
      <c r="CH223" s="96"/>
      <c r="CI223" s="96"/>
      <c r="CJ223" s="96"/>
      <c r="CK223" s="96"/>
      <c r="CL223" s="96"/>
      <c r="CM223" s="96"/>
      <c r="CN223" s="96"/>
    </row>
    <row r="224" spans="1:179" ht="15" customHeight="1" x14ac:dyDescent="0.2">
      <c r="A224" t="s">
        <v>210</v>
      </c>
      <c r="B224" t="s">
        <v>126</v>
      </c>
      <c r="CE224" s="52">
        <f t="shared" ref="CE224:CM224" si="96">CE218/CE221*$CN$224</f>
        <v>0.80560755586164923</v>
      </c>
      <c r="CF224" s="52">
        <f t="shared" si="96"/>
        <v>0.81105584918434737</v>
      </c>
      <c r="CG224" s="52">
        <f t="shared" si="96"/>
        <v>0.79702688208871519</v>
      </c>
      <c r="CH224" s="52">
        <f t="shared" si="96"/>
        <v>0.74647035311309695</v>
      </c>
      <c r="CI224" s="52">
        <f t="shared" si="96"/>
        <v>0.71064998646238386</v>
      </c>
      <c r="CJ224" s="52">
        <f t="shared" si="96"/>
        <v>0.71316107160560038</v>
      </c>
      <c r="CK224" s="52">
        <f t="shared" si="96"/>
        <v>0.7130339009140525</v>
      </c>
      <c r="CL224" s="52">
        <f t="shared" si="96"/>
        <v>0.70806692496887857</v>
      </c>
      <c r="CM224" s="52">
        <f t="shared" si="96"/>
        <v>0.68257972154275282</v>
      </c>
      <c r="CN224" s="52">
        <f>CN218/CN221</f>
        <v>0.81105584918434737</v>
      </c>
      <c r="CO224" s="52">
        <f>CO218/CO221</f>
        <v>0.49835561673196072</v>
      </c>
      <c r="CP224" s="52">
        <f>CP218/CP221</f>
        <v>0.2856069494088741</v>
      </c>
      <c r="CQ224" s="52">
        <f>CQ218/CQ221</f>
        <v>0.36820002846341088</v>
      </c>
    </row>
    <row r="225" spans="1:97" ht="15" customHeight="1" x14ac:dyDescent="0.2">
      <c r="A225" t="s">
        <v>211</v>
      </c>
      <c r="B225" t="s">
        <v>126</v>
      </c>
      <c r="CE225" s="52">
        <f t="shared" ref="CE225:CM225" si="97">1-CE224-CE226</f>
        <v>0.18767491250575441</v>
      </c>
      <c r="CF225" s="52">
        <f t="shared" si="97"/>
        <v>0.18894415081565263</v>
      </c>
      <c r="CG225" s="52">
        <f t="shared" si="97"/>
        <v>0.18567595260541755</v>
      </c>
      <c r="CH225" s="52">
        <f t="shared" si="97"/>
        <v>0.17389826744959067</v>
      </c>
      <c r="CI225" s="52">
        <f t="shared" si="97"/>
        <v>0.16555352921050293</v>
      </c>
      <c r="CJ225" s="52">
        <f t="shared" si="97"/>
        <v>0.16613851340177405</v>
      </c>
      <c r="CK225" s="52">
        <f t="shared" si="97"/>
        <v>0.16610888762649945</v>
      </c>
      <c r="CL225" s="52">
        <f t="shared" si="97"/>
        <v>0.16495177735718008</v>
      </c>
      <c r="CM225" s="52">
        <f t="shared" si="97"/>
        <v>0.15901426021473167</v>
      </c>
      <c r="CN225" s="52">
        <f>CN220/CN221</f>
        <v>2.0623132678669165E-2</v>
      </c>
      <c r="CO225" s="52">
        <f>CO220/CO221</f>
        <v>0.36721987181663018</v>
      </c>
      <c r="CP225" s="52">
        <f>CP220/CP221</f>
        <v>0.59710129155403602</v>
      </c>
      <c r="CQ225" s="52">
        <f>CQ220/CQ221</f>
        <v>0.50200829273364511</v>
      </c>
      <c r="CS225" t="s">
        <v>284</v>
      </c>
    </row>
    <row r="226" spans="1:97" ht="15" customHeight="1" x14ac:dyDescent="0.2">
      <c r="A226" t="s">
        <v>220</v>
      </c>
      <c r="B226" t="s">
        <v>126</v>
      </c>
      <c r="CE226" s="52">
        <f t="shared" ref="CE226:CQ226" si="98">CE219/CE221</f>
        <v>6.7175316325963491E-3</v>
      </c>
      <c r="CF226" s="52">
        <f t="shared" si="98"/>
        <v>0</v>
      </c>
      <c r="CG226" s="52">
        <f t="shared" si="98"/>
        <v>1.7297165305867244E-2</v>
      </c>
      <c r="CH226" s="52">
        <f t="shared" si="98"/>
        <v>7.9631379437312383E-2</v>
      </c>
      <c r="CI226" s="52">
        <f t="shared" si="98"/>
        <v>0.12379648432711321</v>
      </c>
      <c r="CJ226" s="52">
        <f t="shared" si="98"/>
        <v>0.12070041499262557</v>
      </c>
      <c r="CK226" s="52">
        <f t="shared" si="98"/>
        <v>0.12085721145944807</v>
      </c>
      <c r="CL226" s="52">
        <f t="shared" si="98"/>
        <v>0.12698129767394134</v>
      </c>
      <c r="CM226" s="52">
        <f t="shared" si="98"/>
        <v>0.15840601824251552</v>
      </c>
      <c r="CN226" s="52">
        <f t="shared" si="98"/>
        <v>0.16832101813698347</v>
      </c>
      <c r="CO226" s="52">
        <f t="shared" si="98"/>
        <v>0.13442451145140907</v>
      </c>
      <c r="CP226" s="52">
        <f t="shared" si="98"/>
        <v>0.11729175903708984</v>
      </c>
      <c r="CQ226" s="52">
        <f t="shared" si="98"/>
        <v>0.12979167880294398</v>
      </c>
    </row>
    <row r="227" spans="1:97" ht="15" customHeight="1" x14ac:dyDescent="0.2">
      <c r="B227" t="s">
        <v>126</v>
      </c>
    </row>
  </sheetData>
  <mergeCells count="1">
    <mergeCell ref="DL7:DR7"/>
  </mergeCells>
  <hyperlinks>
    <hyperlink ref="FN155" r:id="rId1" display="https://minelens.sharepoint.com/sites/MineSpans/Published Documents/20050131_EnvironmentImpactStatementVermontCoal_Mine.pdf" xr:uid="{00000000-0004-0000-0100-000000000000}"/>
    <hyperlink ref="FN156" r:id="rId2" display="https://minelens.sharepoint.com/sites/MineSpans/Published Documents/20050131_EnvironmentImpactStatementVermontCoal_Mine.pdf" xr:uid="{00000000-0004-0000-0100-000001000000}"/>
  </hyperlinks>
  <pageMargins left="0.7" right="0.7" top="0.75" bottom="0.75" header="0.3" footer="0.3"/>
  <pageSetup paperSize="9" orientation="portrait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37"/>
  <sheetViews>
    <sheetView showGridLines="0" zoomScale="70" zoomScaleNormal="70" workbookViewId="0">
      <pane xSplit="1" ySplit="9" topLeftCell="BD10" activePane="bottomRight" state="frozen"/>
      <selection activeCell="CH12" sqref="CH12"/>
      <selection pane="topRight" activeCell="CH12" sqref="CH12"/>
      <selection pane="bottomLeft" activeCell="CH12" sqref="CH12"/>
      <selection pane="bottomRight" activeCell="CH12" sqref="CH12"/>
    </sheetView>
  </sheetViews>
  <sheetFormatPr baseColWidth="10" defaultColWidth="8.83203125" defaultRowHeight="15" customHeight="1" outlineLevelCol="1" x14ac:dyDescent="0.2"/>
  <cols>
    <col min="1" max="1" width="28.5" customWidth="1"/>
    <col min="2" max="2" width="9.5" customWidth="1" outlineLevel="1"/>
    <col min="3" max="54" width="8.6640625" customWidth="1" outlineLevel="1"/>
    <col min="55" max="61" width="8.5" customWidth="1"/>
    <col min="62" max="67" width="9.5" customWidth="1"/>
    <col min="69" max="69" width="39.5" customWidth="1"/>
  </cols>
  <sheetData>
    <row r="1" spans="1:122" ht="18.75" customHeight="1" x14ac:dyDescent="0.25">
      <c r="A1" s="3" t="s">
        <v>503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S1" s="4"/>
      <c r="BT1" s="4"/>
    </row>
    <row r="2" spans="1:122" x14ac:dyDescent="0.2">
      <c r="BS2" s="4"/>
      <c r="BT2" s="4"/>
    </row>
    <row r="3" spans="1:122" x14ac:dyDescent="0.2">
      <c r="A3" s="1" t="s">
        <v>1</v>
      </c>
      <c r="BS3" s="4"/>
      <c r="BT3" s="4"/>
    </row>
    <row r="4" spans="1:122" x14ac:dyDescent="0.2">
      <c r="A4" t="s">
        <v>2</v>
      </c>
      <c r="BS4" s="4"/>
      <c r="BT4" s="4"/>
    </row>
    <row r="5" spans="1:122" x14ac:dyDescent="0.2">
      <c r="A5" s="2" t="s">
        <v>3</v>
      </c>
      <c r="BS5" s="4"/>
      <c r="BT5" s="4"/>
    </row>
    <row r="6" spans="1:122" x14ac:dyDescent="0.2">
      <c r="A6" s="30" t="s">
        <v>4</v>
      </c>
      <c r="BS6" s="4"/>
      <c r="BT6" s="4"/>
    </row>
    <row r="7" spans="1:122" x14ac:dyDescent="0.2">
      <c r="B7" s="1" t="s">
        <v>504</v>
      </c>
      <c r="BS7" s="1" t="s">
        <v>7</v>
      </c>
      <c r="BT7" s="4"/>
    </row>
    <row r="8" spans="1:122" x14ac:dyDescent="0.2">
      <c r="B8" s="8">
        <v>2012</v>
      </c>
      <c r="C8" s="8">
        <v>2012</v>
      </c>
      <c r="D8" s="8">
        <v>2012</v>
      </c>
      <c r="E8" s="8">
        <v>2012</v>
      </c>
      <c r="F8" s="8">
        <v>2013</v>
      </c>
      <c r="G8" s="8">
        <v>2013</v>
      </c>
      <c r="H8" s="8">
        <v>2013</v>
      </c>
      <c r="I8" s="8">
        <v>2013</v>
      </c>
      <c r="J8" s="8">
        <v>2014</v>
      </c>
      <c r="K8" s="8">
        <v>2014</v>
      </c>
      <c r="L8" s="8">
        <v>2014</v>
      </c>
      <c r="M8" s="8">
        <v>2014</v>
      </c>
      <c r="N8" s="8">
        <v>2015</v>
      </c>
      <c r="O8" s="8">
        <v>2015</v>
      </c>
      <c r="P8" s="8">
        <v>2015</v>
      </c>
      <c r="Q8" s="8">
        <v>2015</v>
      </c>
      <c r="R8" s="8">
        <v>2016</v>
      </c>
      <c r="S8" s="8">
        <v>2016</v>
      </c>
      <c r="T8" s="8">
        <v>2016</v>
      </c>
      <c r="U8" s="8">
        <v>2016</v>
      </c>
      <c r="V8" s="8">
        <v>2017</v>
      </c>
      <c r="W8" s="8">
        <v>2017</v>
      </c>
      <c r="X8" s="8">
        <v>2017</v>
      </c>
      <c r="Y8" s="8">
        <v>2017</v>
      </c>
      <c r="Z8" s="8">
        <v>2018</v>
      </c>
      <c r="AA8" s="8">
        <v>2018</v>
      </c>
      <c r="AB8" s="8">
        <v>2018</v>
      </c>
      <c r="AC8" s="8">
        <v>2018</v>
      </c>
      <c r="AD8" s="8">
        <v>2019</v>
      </c>
      <c r="AE8" s="8">
        <v>2019</v>
      </c>
      <c r="AF8" s="8">
        <v>2019</v>
      </c>
      <c r="AG8" s="8">
        <v>2019</v>
      </c>
      <c r="AH8" s="8">
        <v>2020</v>
      </c>
      <c r="AI8" s="8">
        <v>2020</v>
      </c>
      <c r="AJ8" s="8">
        <v>2020</v>
      </c>
      <c r="AK8" s="8">
        <v>2020</v>
      </c>
      <c r="AL8" s="8">
        <v>2021</v>
      </c>
      <c r="AM8" s="8">
        <v>2021</v>
      </c>
      <c r="AN8" s="8">
        <v>2021</v>
      </c>
      <c r="AO8" s="8">
        <v>2021</v>
      </c>
      <c r="AP8" s="8">
        <v>2022</v>
      </c>
      <c r="AQ8" s="8">
        <v>2022</v>
      </c>
      <c r="AR8" s="8">
        <v>2022</v>
      </c>
      <c r="AS8" s="8">
        <v>2022</v>
      </c>
      <c r="AT8" s="8">
        <v>2023</v>
      </c>
      <c r="AU8" s="8">
        <v>2023</v>
      </c>
      <c r="AV8" s="8">
        <v>2023</v>
      </c>
      <c r="AW8" s="8">
        <v>2023</v>
      </c>
      <c r="AX8" s="8">
        <v>2024</v>
      </c>
      <c r="AY8" s="8">
        <v>2024</v>
      </c>
      <c r="AZ8" s="8">
        <v>2024</v>
      </c>
      <c r="BA8" s="8">
        <v>2024</v>
      </c>
      <c r="BB8" s="8"/>
      <c r="BS8" s="8">
        <v>2012</v>
      </c>
      <c r="BT8" s="8">
        <v>2012</v>
      </c>
      <c r="BU8" s="8">
        <v>2012</v>
      </c>
      <c r="BV8" s="8">
        <v>2012</v>
      </c>
      <c r="BW8" s="8">
        <v>2013</v>
      </c>
      <c r="BX8" s="8">
        <v>2013</v>
      </c>
      <c r="BY8" s="8">
        <v>2013</v>
      </c>
      <c r="BZ8" s="8">
        <v>2013</v>
      </c>
      <c r="CA8" s="8">
        <v>2014</v>
      </c>
      <c r="CB8" s="8">
        <v>2014</v>
      </c>
      <c r="CC8" s="8">
        <v>2014</v>
      </c>
      <c r="CD8" s="8">
        <v>2014</v>
      </c>
      <c r="CE8" s="8">
        <v>2015</v>
      </c>
      <c r="CF8" s="8">
        <v>2015</v>
      </c>
      <c r="CG8" s="8">
        <v>2015</v>
      </c>
      <c r="CH8" s="8">
        <v>2015</v>
      </c>
      <c r="CI8" s="8">
        <v>2016</v>
      </c>
      <c r="CJ8" s="8">
        <v>2016</v>
      </c>
      <c r="CK8" s="8">
        <v>2016</v>
      </c>
      <c r="CL8" s="8">
        <v>2016</v>
      </c>
      <c r="CM8" s="8">
        <v>2017</v>
      </c>
      <c r="CN8" s="8">
        <v>2017</v>
      </c>
      <c r="CO8" s="8">
        <v>2017</v>
      </c>
      <c r="CP8" s="8">
        <v>2017</v>
      </c>
      <c r="CQ8" s="8">
        <v>2018</v>
      </c>
      <c r="CR8" s="8">
        <v>2018</v>
      </c>
      <c r="CS8" s="8">
        <v>2018</v>
      </c>
      <c r="CT8" s="8">
        <v>2018</v>
      </c>
      <c r="CU8" s="8">
        <v>2019</v>
      </c>
      <c r="CV8" s="8">
        <v>2019</v>
      </c>
      <c r="CW8" s="8">
        <v>2019</v>
      </c>
      <c r="CX8" s="8">
        <v>2019</v>
      </c>
      <c r="CY8" s="8">
        <v>2020</v>
      </c>
      <c r="CZ8" s="8">
        <v>2020</v>
      </c>
      <c r="DA8" s="8">
        <v>2020</v>
      </c>
      <c r="DB8" s="8">
        <v>2020</v>
      </c>
      <c r="DC8" s="1">
        <v>2021</v>
      </c>
      <c r="DD8" s="1">
        <v>2021</v>
      </c>
      <c r="DE8" s="1">
        <v>2021</v>
      </c>
      <c r="DF8" s="1">
        <v>2021</v>
      </c>
      <c r="DG8" s="1">
        <v>2022</v>
      </c>
      <c r="DH8" s="1">
        <v>2022</v>
      </c>
      <c r="DI8" s="1">
        <v>2022</v>
      </c>
      <c r="DJ8" s="1">
        <v>2022</v>
      </c>
      <c r="DK8" s="1">
        <v>2023</v>
      </c>
      <c r="DL8" s="1">
        <v>2023</v>
      </c>
      <c r="DM8" s="1">
        <v>2023</v>
      </c>
      <c r="DN8" s="1">
        <v>2023</v>
      </c>
      <c r="DO8" s="1">
        <v>2024</v>
      </c>
      <c r="DP8" s="1">
        <v>2024</v>
      </c>
      <c r="DQ8" s="1">
        <v>2024</v>
      </c>
      <c r="DR8" s="1">
        <v>2024</v>
      </c>
    </row>
    <row r="9" spans="1:122" x14ac:dyDescent="0.2">
      <c r="B9" s="31" t="s">
        <v>10</v>
      </c>
      <c r="C9" s="31" t="s">
        <v>11</v>
      </c>
      <c r="D9" s="31" t="s">
        <v>12</v>
      </c>
      <c r="E9" s="31" t="s">
        <v>13</v>
      </c>
      <c r="F9" s="31" t="s">
        <v>10</v>
      </c>
      <c r="G9" s="31" t="s">
        <v>11</v>
      </c>
      <c r="H9" s="31" t="s">
        <v>12</v>
      </c>
      <c r="I9" s="31" t="s">
        <v>13</v>
      </c>
      <c r="J9" s="31" t="s">
        <v>10</v>
      </c>
      <c r="K9" s="31" t="s">
        <v>11</v>
      </c>
      <c r="L9" s="31" t="s">
        <v>12</v>
      </c>
      <c r="M9" s="31" t="s">
        <v>13</v>
      </c>
      <c r="N9" s="31" t="s">
        <v>10</v>
      </c>
      <c r="O9" s="31" t="s">
        <v>11</v>
      </c>
      <c r="P9" s="31" t="s">
        <v>12</v>
      </c>
      <c r="Q9" s="31" t="s">
        <v>13</v>
      </c>
      <c r="R9" s="31" t="s">
        <v>10</v>
      </c>
      <c r="S9" s="31" t="s">
        <v>11</v>
      </c>
      <c r="T9" s="31" t="s">
        <v>12</v>
      </c>
      <c r="U9" s="31" t="s">
        <v>13</v>
      </c>
      <c r="V9" s="31" t="s">
        <v>10</v>
      </c>
      <c r="W9" s="31" t="s">
        <v>11</v>
      </c>
      <c r="X9" s="31" t="s">
        <v>12</v>
      </c>
      <c r="Y9" s="31" t="s">
        <v>13</v>
      </c>
      <c r="Z9" s="31" t="s">
        <v>10</v>
      </c>
      <c r="AA9" s="31" t="s">
        <v>11</v>
      </c>
      <c r="AB9" s="31" t="s">
        <v>12</v>
      </c>
      <c r="AC9" s="31" t="s">
        <v>13</v>
      </c>
      <c r="AD9" s="31" t="s">
        <v>10</v>
      </c>
      <c r="AE9" s="31" t="s">
        <v>11</v>
      </c>
      <c r="AF9" s="31" t="s">
        <v>12</v>
      </c>
      <c r="AG9" s="31" t="s">
        <v>13</v>
      </c>
      <c r="AH9" s="31" t="s">
        <v>10</v>
      </c>
      <c r="AI9" s="31" t="s">
        <v>11</v>
      </c>
      <c r="AJ9" s="31" t="s">
        <v>12</v>
      </c>
      <c r="AK9" s="31" t="s">
        <v>13</v>
      </c>
      <c r="AL9" s="31" t="s">
        <v>10</v>
      </c>
      <c r="AM9" s="31" t="s">
        <v>11</v>
      </c>
      <c r="AN9" s="31" t="s">
        <v>12</v>
      </c>
      <c r="AO9" s="31" t="s">
        <v>13</v>
      </c>
      <c r="AP9" s="31" t="s">
        <v>10</v>
      </c>
      <c r="AQ9" s="31" t="s">
        <v>11</v>
      </c>
      <c r="AR9" s="31" t="s">
        <v>12</v>
      </c>
      <c r="AS9" s="31" t="s">
        <v>13</v>
      </c>
      <c r="AT9" s="31" t="s">
        <v>10</v>
      </c>
      <c r="AU9" s="31" t="s">
        <v>11</v>
      </c>
      <c r="AV9" s="31" t="s">
        <v>12</v>
      </c>
      <c r="AW9" s="31" t="s">
        <v>13</v>
      </c>
      <c r="AX9" s="31" t="s">
        <v>10</v>
      </c>
      <c r="AY9" s="31" t="s">
        <v>11</v>
      </c>
      <c r="AZ9" s="31" t="s">
        <v>12</v>
      </c>
      <c r="BA9" s="31" t="s">
        <v>13</v>
      </c>
      <c r="BB9" s="31"/>
      <c r="BC9" s="5">
        <v>2012</v>
      </c>
      <c r="BD9" s="5">
        <v>2013</v>
      </c>
      <c r="BE9" s="5">
        <v>2014</v>
      </c>
      <c r="BF9" s="5">
        <v>2015</v>
      </c>
      <c r="BG9" s="5">
        <v>2016</v>
      </c>
      <c r="BH9" s="5">
        <v>2017</v>
      </c>
      <c r="BI9" s="5">
        <v>2018</v>
      </c>
      <c r="BJ9" s="5">
        <v>2019</v>
      </c>
      <c r="BK9" s="5">
        <v>2020</v>
      </c>
      <c r="BL9" s="5">
        <v>2021</v>
      </c>
      <c r="BM9" s="5">
        <v>2022</v>
      </c>
      <c r="BN9" s="5">
        <v>2023</v>
      </c>
      <c r="BO9" s="5">
        <v>2024</v>
      </c>
      <c r="BQ9" s="5" t="s">
        <v>28</v>
      </c>
      <c r="BS9" s="31" t="s">
        <v>10</v>
      </c>
      <c r="BT9" s="31" t="s">
        <v>11</v>
      </c>
      <c r="BU9" s="31" t="s">
        <v>12</v>
      </c>
      <c r="BV9" s="31" t="s">
        <v>13</v>
      </c>
      <c r="BW9" s="31" t="s">
        <v>10</v>
      </c>
      <c r="BX9" s="31" t="s">
        <v>11</v>
      </c>
      <c r="BY9" s="31" t="s">
        <v>12</v>
      </c>
      <c r="BZ9" s="31" t="s">
        <v>13</v>
      </c>
      <c r="CA9" s="31" t="s">
        <v>10</v>
      </c>
      <c r="CB9" s="31" t="s">
        <v>11</v>
      </c>
      <c r="CC9" s="31" t="s">
        <v>12</v>
      </c>
      <c r="CD9" s="31" t="s">
        <v>13</v>
      </c>
      <c r="CE9" s="31" t="s">
        <v>10</v>
      </c>
      <c r="CF9" s="31" t="s">
        <v>11</v>
      </c>
      <c r="CG9" s="31" t="s">
        <v>12</v>
      </c>
      <c r="CH9" s="31" t="s">
        <v>13</v>
      </c>
      <c r="CI9" s="31" t="s">
        <v>10</v>
      </c>
      <c r="CJ9" s="31" t="s">
        <v>11</v>
      </c>
      <c r="CK9" s="31" t="s">
        <v>12</v>
      </c>
      <c r="CL9" s="31" t="s">
        <v>13</v>
      </c>
      <c r="CM9" s="31" t="s">
        <v>10</v>
      </c>
      <c r="CN9" s="31" t="s">
        <v>11</v>
      </c>
      <c r="CO9" s="31" t="s">
        <v>12</v>
      </c>
      <c r="CP9" s="31" t="s">
        <v>13</v>
      </c>
      <c r="CQ9" s="31" t="s">
        <v>10</v>
      </c>
      <c r="CR9" s="31" t="s">
        <v>11</v>
      </c>
      <c r="CS9" s="31" t="s">
        <v>12</v>
      </c>
      <c r="CT9" s="31" t="s">
        <v>13</v>
      </c>
      <c r="CU9" s="31" t="s">
        <v>10</v>
      </c>
      <c r="CV9" s="31" t="s">
        <v>11</v>
      </c>
      <c r="CW9" s="31" t="s">
        <v>12</v>
      </c>
      <c r="CX9" s="31" t="s">
        <v>13</v>
      </c>
      <c r="CY9" s="31" t="s">
        <v>10</v>
      </c>
      <c r="CZ9" s="31" t="s">
        <v>11</v>
      </c>
      <c r="DA9" s="31" t="s">
        <v>12</v>
      </c>
      <c r="DB9" s="31" t="s">
        <v>13</v>
      </c>
      <c r="DC9" s="31" t="s">
        <v>10</v>
      </c>
      <c r="DD9" s="31" t="s">
        <v>11</v>
      </c>
      <c r="DE9" s="31" t="s">
        <v>12</v>
      </c>
      <c r="DF9" s="31" t="s">
        <v>13</v>
      </c>
      <c r="DG9" s="31" t="s">
        <v>10</v>
      </c>
      <c r="DH9" s="31" t="s">
        <v>11</v>
      </c>
      <c r="DI9" s="31" t="s">
        <v>12</v>
      </c>
      <c r="DJ9" s="31" t="s">
        <v>13</v>
      </c>
      <c r="DK9" s="31" t="s">
        <v>10</v>
      </c>
      <c r="DL9" s="31" t="s">
        <v>11</v>
      </c>
      <c r="DM9" s="31" t="s">
        <v>12</v>
      </c>
      <c r="DN9" s="31" t="s">
        <v>13</v>
      </c>
      <c r="DO9" s="31" t="s">
        <v>10</v>
      </c>
      <c r="DP9" s="31" t="s">
        <v>11</v>
      </c>
      <c r="DQ9" s="31" t="s">
        <v>12</v>
      </c>
      <c r="DR9" s="31" t="s">
        <v>13</v>
      </c>
    </row>
    <row r="10" spans="1:122" x14ac:dyDescent="0.2">
      <c r="A10" s="1" t="s">
        <v>505</v>
      </c>
      <c r="BS10" s="4"/>
      <c r="BT10" s="4"/>
    </row>
    <row r="11" spans="1:122" x14ac:dyDescent="0.2">
      <c r="A11" s="1" t="s">
        <v>485</v>
      </c>
      <c r="B11" s="13"/>
      <c r="C11" s="13"/>
      <c r="D11" s="13"/>
      <c r="E11" s="13"/>
      <c r="BS11" s="4"/>
      <c r="BT11" s="4"/>
    </row>
    <row r="12" spans="1:122" x14ac:dyDescent="0.2">
      <c r="A12" s="32" t="s">
        <v>98</v>
      </c>
      <c r="B12" s="33">
        <f>SourcedData!J91</f>
        <v>1927</v>
      </c>
      <c r="C12" s="33">
        <f>SourcedData!K91</f>
        <v>1618</v>
      </c>
      <c r="D12" s="33">
        <f>SourcedData!L91</f>
        <v>1632</v>
      </c>
      <c r="E12" s="33">
        <f>SourcedData!M91</f>
        <v>1563</v>
      </c>
      <c r="F12" s="33">
        <f>SourcedData!N91</f>
        <v>1522</v>
      </c>
      <c r="G12" s="33">
        <f>SourcedData!O91</f>
        <v>1577</v>
      </c>
      <c r="H12" s="33">
        <f>SourcedData!P91</f>
        <v>1768</v>
      </c>
      <c r="I12" s="33">
        <f>SourcedData!Q91</f>
        <v>1481</v>
      </c>
      <c r="J12" s="33">
        <f>SourcedData!R91</f>
        <v>1384</v>
      </c>
      <c r="K12" s="33">
        <f>SourcedData!S91</f>
        <v>1243</v>
      </c>
      <c r="L12" s="33">
        <f>SourcedData!T91</f>
        <v>1241</v>
      </c>
      <c r="M12" s="33">
        <f>SourcedData!U91</f>
        <v>1255</v>
      </c>
      <c r="N12" s="33">
        <f>SourcedData!V91</f>
        <v>1342</v>
      </c>
      <c r="O12" s="33">
        <f>SourcedData!W91</f>
        <v>1276</v>
      </c>
      <c r="P12" s="33">
        <f>SourcedData!X91</f>
        <v>1354</v>
      </c>
      <c r="Q12" s="33">
        <f>SourcedData!Y91</f>
        <v>1248</v>
      </c>
      <c r="R12" s="33">
        <f>SourcedData!Z91</f>
        <v>1220</v>
      </c>
      <c r="S12" s="33">
        <f>SourcedData!AA91</f>
        <v>1219</v>
      </c>
      <c r="T12" s="33">
        <f>SourcedData!AB91</f>
        <v>1211</v>
      </c>
      <c r="U12" s="33">
        <f>SourcedData!AC91</f>
        <v>1234</v>
      </c>
      <c r="V12" s="33">
        <f>SourcedData!AD91</f>
        <v>1221</v>
      </c>
      <c r="W12" s="33">
        <f>SourcedData!AE91</f>
        <v>1206</v>
      </c>
      <c r="X12" s="33">
        <f>SourcedData!AF91</f>
        <v>1271</v>
      </c>
      <c r="Y12" s="33">
        <f>SourcedData!AG91</f>
        <v>1314</v>
      </c>
      <c r="Z12" s="33">
        <f>SourcedData!AH91</f>
        <v>1334</v>
      </c>
      <c r="AA12" s="33">
        <f>SourcedData!AI91</f>
        <v>1404</v>
      </c>
      <c r="AB12" s="33">
        <f>SourcedData!AJ91</f>
        <v>1444</v>
      </c>
      <c r="AC12" s="33">
        <f>SourcedData!AK91</f>
        <v>1483</v>
      </c>
      <c r="AD12" s="33">
        <f>SourcedData!AL91</f>
        <v>1457</v>
      </c>
      <c r="AE12" s="33">
        <f>SourcedData!AM91</f>
        <v>1536</v>
      </c>
      <c r="AF12" s="33">
        <f>SourcedData!AN91</f>
        <v>1499</v>
      </c>
      <c r="AG12" s="33">
        <f>SourcedData!AO91</f>
        <v>1609</v>
      </c>
      <c r="AH12" s="33">
        <f>SourcedData!AP91</f>
        <v>1687</v>
      </c>
      <c r="AI12" s="33">
        <f>SourcedData!AQ91</f>
        <v>1676</v>
      </c>
      <c r="AJ12" s="33">
        <f>SourcedData!AR91</f>
        <v>1353</v>
      </c>
      <c r="AK12" s="33">
        <f>SourcedData!AS91</f>
        <v>1243</v>
      </c>
      <c r="AL12" s="33">
        <f>SourcedData!AT91</f>
        <v>1421</v>
      </c>
      <c r="AM12" s="33">
        <f>SourcedData!AU91</f>
        <v>1426</v>
      </c>
      <c r="AN12" s="33">
        <f>SourcedData!AV91</f>
        <v>1379</v>
      </c>
      <c r="AO12" s="33">
        <f>SourcedData!AW91</f>
        <v>1458</v>
      </c>
      <c r="AP12" s="33">
        <f>SourcedData!AX91</f>
        <v>1359</v>
      </c>
      <c r="AQ12" s="33">
        <f>SourcedData!AY91</f>
        <v>1471</v>
      </c>
      <c r="AR12" s="33">
        <f>SourcedData!AZ91</f>
        <v>1403</v>
      </c>
      <c r="AS12" s="33">
        <f>SourcedData!BA91</f>
        <v>1461</v>
      </c>
      <c r="AT12" s="33">
        <f>SourcedData!BB91</f>
        <v>1454</v>
      </c>
      <c r="AU12" s="33">
        <f>SourcedData!BC91</f>
        <v>1477</v>
      </c>
      <c r="AV12" s="33">
        <f>SourcedData!BD91</f>
        <v>1516</v>
      </c>
      <c r="AW12" s="33">
        <f>SourcedData!BE91</f>
        <v>1428</v>
      </c>
      <c r="AX12" s="33">
        <f>SourcedData!BF91</f>
        <v>1517</v>
      </c>
      <c r="AY12" s="33">
        <f>SourcedData!BG91</f>
        <v>1556</v>
      </c>
      <c r="AZ12" s="33">
        <f>SourcedData!BH91</f>
        <v>1587</v>
      </c>
      <c r="BA12">
        <f>SourcedData!BI91</f>
        <v>1603</v>
      </c>
      <c r="BC12" s="36">
        <f t="shared" ref="BC12:BI13" si="0">AVERAGEIF($B$8:$AC$8,BC$9,$B12:$AC12)</f>
        <v>1685</v>
      </c>
      <c r="BD12" s="36">
        <f t="shared" si="0"/>
        <v>1587</v>
      </c>
      <c r="BE12" s="36">
        <f t="shared" si="0"/>
        <v>1280.75</v>
      </c>
      <c r="BF12" s="36">
        <f t="shared" si="0"/>
        <v>1305</v>
      </c>
      <c r="BG12" s="36">
        <f t="shared" si="0"/>
        <v>1221</v>
      </c>
      <c r="BH12" s="36">
        <f t="shared" si="0"/>
        <v>1253</v>
      </c>
      <c r="BI12" s="36">
        <f t="shared" si="0"/>
        <v>1416.25</v>
      </c>
      <c r="BJ12" s="36">
        <f t="shared" ref="BJ12:BJ18" si="1">AVERAGEIF($B$8:$AG$8,BJ$9,$B12:$AG12)</f>
        <v>1525.25</v>
      </c>
      <c r="BK12" s="36">
        <f t="shared" ref="BK12:BK18" si="2">AVERAGEIF($B$8:$AK$8,BK$9,$B12:$AK12)</f>
        <v>1489.75</v>
      </c>
      <c r="BL12" s="36">
        <f t="shared" ref="BL12:BO13" si="3">AVERAGEIF($B$8:$BA$8,BL$9,$B12:$BA12)</f>
        <v>1421</v>
      </c>
      <c r="BM12" s="36">
        <f t="shared" si="3"/>
        <v>1423.5</v>
      </c>
      <c r="BN12" s="36">
        <f t="shared" si="3"/>
        <v>1468.75</v>
      </c>
      <c r="BO12" s="36">
        <f t="shared" si="3"/>
        <v>1565.75</v>
      </c>
      <c r="BQ12" t="s">
        <v>506</v>
      </c>
      <c r="BS12" s="4" t="s">
        <v>507</v>
      </c>
      <c r="BT12" s="4" t="s">
        <v>507</v>
      </c>
      <c r="BU12" s="4" t="s">
        <v>507</v>
      </c>
      <c r="BV12" s="4" t="s">
        <v>507</v>
      </c>
      <c r="BW12" s="4" t="s">
        <v>507</v>
      </c>
      <c r="BX12" s="4" t="s">
        <v>507</v>
      </c>
      <c r="BY12" s="4" t="s">
        <v>507</v>
      </c>
      <c r="BZ12" s="4" t="s">
        <v>507</v>
      </c>
      <c r="CA12" s="4" t="s">
        <v>507</v>
      </c>
      <c r="CB12" s="4" t="s">
        <v>507</v>
      </c>
      <c r="CC12" s="4" t="s">
        <v>507</v>
      </c>
      <c r="CD12" s="4" t="s">
        <v>507</v>
      </c>
      <c r="CE12" s="4" t="s">
        <v>507</v>
      </c>
      <c r="CF12" s="4" t="s">
        <v>507</v>
      </c>
      <c r="CG12" s="4" t="s">
        <v>507</v>
      </c>
      <c r="CH12" s="4" t="s">
        <v>507</v>
      </c>
      <c r="CI12" s="4" t="s">
        <v>508</v>
      </c>
      <c r="CJ12" s="4" t="s">
        <v>508</v>
      </c>
      <c r="CK12" s="4" t="s">
        <v>508</v>
      </c>
      <c r="CL12" s="4" t="s">
        <v>508</v>
      </c>
      <c r="CM12" s="4" t="s">
        <v>508</v>
      </c>
      <c r="CN12" s="4" t="s">
        <v>508</v>
      </c>
      <c r="CO12" s="4" t="s">
        <v>508</v>
      </c>
      <c r="CP12" s="4" t="s">
        <v>508</v>
      </c>
      <c r="CQ12" s="4" t="s">
        <v>509</v>
      </c>
      <c r="CR12" s="4" t="s">
        <v>509</v>
      </c>
      <c r="CS12" s="4" t="s">
        <v>509</v>
      </c>
      <c r="CT12" s="4" t="s">
        <v>509</v>
      </c>
      <c r="CU12" s="4" t="s">
        <v>510</v>
      </c>
      <c r="CV12" s="4" t="s">
        <v>510</v>
      </c>
      <c r="CW12" s="4" t="s">
        <v>510</v>
      </c>
      <c r="CX12" s="4" t="s">
        <v>510</v>
      </c>
      <c r="CY12" s="4" t="s">
        <v>511</v>
      </c>
      <c r="CZ12" s="4" t="s">
        <v>511</v>
      </c>
      <c r="DA12" s="4" t="s">
        <v>511</v>
      </c>
      <c r="DB12" s="4" t="s">
        <v>511</v>
      </c>
      <c r="DC12" s="4" t="s">
        <v>512</v>
      </c>
      <c r="DD12" s="4" t="s">
        <v>512</v>
      </c>
      <c r="DE12" s="4" t="s">
        <v>512</v>
      </c>
      <c r="DF12" s="4" t="s">
        <v>512</v>
      </c>
      <c r="DG12" s="4" t="s">
        <v>512</v>
      </c>
      <c r="DH12" s="4" t="s">
        <v>512</v>
      </c>
      <c r="DI12" s="4" t="s">
        <v>512</v>
      </c>
      <c r="DJ12" s="4" t="s">
        <v>512</v>
      </c>
      <c r="DK12" s="4" t="s">
        <v>513</v>
      </c>
      <c r="DL12" s="4" t="s">
        <v>513</v>
      </c>
      <c r="DM12" s="4" t="s">
        <v>513</v>
      </c>
      <c r="DN12" s="4" t="s">
        <v>513</v>
      </c>
      <c r="DO12" s="4" t="s">
        <v>513</v>
      </c>
      <c r="DP12" s="4" t="s">
        <v>513</v>
      </c>
      <c r="DQ12" s="4" t="s">
        <v>513</v>
      </c>
      <c r="DR12" s="4" t="s">
        <v>513</v>
      </c>
    </row>
    <row r="13" spans="1:122" x14ac:dyDescent="0.2">
      <c r="A13" s="32" t="s">
        <v>128</v>
      </c>
      <c r="B13" s="13">
        <f>SourcedData!J92</f>
        <v>428</v>
      </c>
      <c r="C13" s="13">
        <f>SourcedData!K92</f>
        <v>484</v>
      </c>
      <c r="D13" s="33">
        <f>SourcedData!L92</f>
        <v>494</v>
      </c>
      <c r="E13" s="33">
        <f>SourcedData!M92</f>
        <v>488</v>
      </c>
      <c r="F13" s="33">
        <f>SourcedData!N92</f>
        <v>488</v>
      </c>
      <c r="G13" s="33">
        <f>SourcedData!O92</f>
        <v>501</v>
      </c>
      <c r="H13" s="33">
        <f>SourcedData!P92</f>
        <v>502</v>
      </c>
      <c r="I13" s="33">
        <f>SourcedData!Q92</f>
        <v>496</v>
      </c>
      <c r="J13" s="33">
        <f>SourcedData!R92</f>
        <v>486</v>
      </c>
      <c r="K13" s="33">
        <f>SourcedData!S92</f>
        <v>444</v>
      </c>
      <c r="L13" s="33">
        <f>SourcedData!T92</f>
        <v>432</v>
      </c>
      <c r="M13" s="33">
        <f>SourcedData!U92</f>
        <v>391</v>
      </c>
      <c r="N13" s="33">
        <f>SourcedData!V92</f>
        <v>236</v>
      </c>
      <c r="O13" s="33">
        <f>SourcedData!W92</f>
        <v>226</v>
      </c>
      <c r="P13" s="33">
        <f>SourcedData!X92</f>
        <v>231</v>
      </c>
      <c r="Q13" s="33">
        <f>SourcedData!Y92</f>
        <v>227</v>
      </c>
      <c r="R13" s="33">
        <f>SourcedData!Z92</f>
        <v>227</v>
      </c>
      <c r="S13" s="33">
        <f>SourcedData!AA92</f>
        <v>231</v>
      </c>
      <c r="T13" s="33">
        <f>SourcedData!AB92</f>
        <v>233</v>
      </c>
      <c r="U13" s="33">
        <f>SourcedData!AC92</f>
        <v>262</v>
      </c>
      <c r="V13" s="33">
        <f>SourcedData!AD92</f>
        <v>249</v>
      </c>
      <c r="W13" s="33">
        <f>SourcedData!AE92</f>
        <v>262</v>
      </c>
      <c r="X13" s="33">
        <f>SourcedData!AF92</f>
        <v>265</v>
      </c>
      <c r="Y13" s="33">
        <f>SourcedData!AG92</f>
        <v>273</v>
      </c>
      <c r="Z13" s="33">
        <f>SourcedData!AH92</f>
        <v>275</v>
      </c>
      <c r="AA13" s="33">
        <f>SourcedData!AI92</f>
        <v>287</v>
      </c>
      <c r="AB13" s="33">
        <f>SourcedData!AJ92</f>
        <v>297</v>
      </c>
      <c r="AC13" s="33">
        <f>SourcedData!AK92</f>
        <v>293</v>
      </c>
      <c r="AD13" s="33">
        <f>SourcedData!AL92</f>
        <v>299</v>
      </c>
      <c r="AE13" s="33">
        <f>SourcedData!AM92</f>
        <v>308</v>
      </c>
      <c r="AF13" s="33">
        <f>SourcedData!AN92</f>
        <v>325</v>
      </c>
      <c r="AG13" s="33">
        <f>SourcedData!AO92</f>
        <v>332</v>
      </c>
      <c r="AH13" s="33">
        <f>SourcedData!AP92</f>
        <v>347</v>
      </c>
      <c r="AI13" s="33">
        <f>SourcedData!AQ92</f>
        <v>346</v>
      </c>
      <c r="AJ13" s="33">
        <f>SourcedData!AR92</f>
        <v>371</v>
      </c>
      <c r="AK13" s="33">
        <f>SourcedData!AS92</f>
        <v>399</v>
      </c>
      <c r="AL13" s="33">
        <f>SourcedData!AT92</f>
        <v>397</v>
      </c>
      <c r="AM13" s="33">
        <f>SourcedData!AU92</f>
        <v>417</v>
      </c>
      <c r="AN13" s="33">
        <f>SourcedData!AV92</f>
        <v>457</v>
      </c>
      <c r="AO13" s="33">
        <f>SourcedData!AW92</f>
        <v>438</v>
      </c>
      <c r="AP13" s="33">
        <f>SourcedData!AX92</f>
        <v>470</v>
      </c>
      <c r="AQ13" s="33">
        <f>SourcedData!AY92</f>
        <v>505</v>
      </c>
      <c r="AR13" s="33">
        <f>SourcedData!AZ92</f>
        <v>503</v>
      </c>
      <c r="AS13" s="33">
        <f>SourcedData!BA92</f>
        <v>497</v>
      </c>
      <c r="AT13" s="33">
        <f>SourcedData!BB92</f>
        <v>575</v>
      </c>
      <c r="AU13" s="33">
        <f>SourcedData!BC92</f>
        <v>654</v>
      </c>
      <c r="AV13" s="33">
        <f>SourcedData!BD92</f>
        <v>757</v>
      </c>
      <c r="AW13" s="33">
        <f>SourcedData!BE92</f>
        <v>803</v>
      </c>
      <c r="AX13" s="33">
        <f>SourcedData!BF92</f>
        <v>776</v>
      </c>
      <c r="AY13" s="33">
        <f>SourcedData!BG92</f>
        <v>864</v>
      </c>
      <c r="AZ13" s="33">
        <f>SourcedData!BH92</f>
        <v>909</v>
      </c>
      <c r="BA13">
        <f>SourcedData!BI92</f>
        <v>880</v>
      </c>
      <c r="BC13" s="36">
        <f t="shared" si="0"/>
        <v>473.5</v>
      </c>
      <c r="BD13" s="36">
        <f t="shared" si="0"/>
        <v>496.75</v>
      </c>
      <c r="BE13" s="36">
        <f t="shared" si="0"/>
        <v>438.25</v>
      </c>
      <c r="BF13" s="36">
        <f t="shared" si="0"/>
        <v>230</v>
      </c>
      <c r="BG13" s="36">
        <f t="shared" si="0"/>
        <v>238.25</v>
      </c>
      <c r="BH13" s="36">
        <f t="shared" si="0"/>
        <v>262.25</v>
      </c>
      <c r="BI13" s="36">
        <f t="shared" si="0"/>
        <v>288</v>
      </c>
      <c r="BJ13" s="36">
        <f t="shared" si="1"/>
        <v>316</v>
      </c>
      <c r="BK13" s="36">
        <f t="shared" si="2"/>
        <v>365.75</v>
      </c>
      <c r="BL13" s="36">
        <f t="shared" si="3"/>
        <v>427.25</v>
      </c>
      <c r="BM13" s="36">
        <f t="shared" si="3"/>
        <v>493.75</v>
      </c>
      <c r="BN13" s="36">
        <f t="shared" si="3"/>
        <v>697.25</v>
      </c>
      <c r="BO13" s="36">
        <f t="shared" si="3"/>
        <v>857.25</v>
      </c>
      <c r="BQ13" t="s">
        <v>506</v>
      </c>
      <c r="BS13" s="4" t="s">
        <v>507</v>
      </c>
      <c r="BT13" s="4" t="s">
        <v>507</v>
      </c>
      <c r="BU13" s="4" t="s">
        <v>507</v>
      </c>
      <c r="BV13" s="4" t="s">
        <v>507</v>
      </c>
      <c r="BW13" s="4" t="s">
        <v>507</v>
      </c>
      <c r="BX13" s="4" t="s">
        <v>507</v>
      </c>
      <c r="BY13" s="4" t="s">
        <v>507</v>
      </c>
      <c r="BZ13" s="4" t="s">
        <v>507</v>
      </c>
      <c r="CA13" s="4" t="s">
        <v>507</v>
      </c>
      <c r="CB13" s="4" t="s">
        <v>507</v>
      </c>
      <c r="CC13" s="4" t="s">
        <v>507</v>
      </c>
      <c r="CD13" s="4" t="s">
        <v>507</v>
      </c>
      <c r="CE13" s="4" t="s">
        <v>507</v>
      </c>
      <c r="CF13" s="4" t="s">
        <v>507</v>
      </c>
      <c r="CG13" s="4" t="s">
        <v>507</v>
      </c>
      <c r="CH13" s="4" t="s">
        <v>507</v>
      </c>
      <c r="CI13" s="4" t="s">
        <v>508</v>
      </c>
      <c r="CJ13" s="4" t="s">
        <v>508</v>
      </c>
      <c r="CK13" s="4" t="s">
        <v>508</v>
      </c>
      <c r="CL13" s="4" t="s">
        <v>508</v>
      </c>
      <c r="CM13" s="4" t="s">
        <v>508</v>
      </c>
      <c r="CN13" s="4" t="s">
        <v>508</v>
      </c>
      <c r="CO13" s="4" t="s">
        <v>508</v>
      </c>
      <c r="CP13" s="4" t="s">
        <v>508</v>
      </c>
      <c r="CQ13" s="4" t="s">
        <v>509</v>
      </c>
      <c r="CR13" s="4" t="s">
        <v>509</v>
      </c>
      <c r="CS13" s="4" t="s">
        <v>509</v>
      </c>
      <c r="CT13" s="4" t="s">
        <v>509</v>
      </c>
      <c r="CU13" s="4" t="s">
        <v>510</v>
      </c>
      <c r="CV13" s="4" t="s">
        <v>510</v>
      </c>
      <c r="CW13" s="4" t="s">
        <v>510</v>
      </c>
      <c r="CX13" s="4" t="s">
        <v>510</v>
      </c>
      <c r="CY13" s="4" t="s">
        <v>514</v>
      </c>
      <c r="CZ13" s="4" t="s">
        <v>514</v>
      </c>
      <c r="DA13" s="4" t="s">
        <v>514</v>
      </c>
      <c r="DB13" s="4" t="s">
        <v>514</v>
      </c>
      <c r="DC13" s="4" t="s">
        <v>512</v>
      </c>
      <c r="DD13" s="4" t="s">
        <v>512</v>
      </c>
      <c r="DE13" s="4" t="s">
        <v>512</v>
      </c>
      <c r="DF13" s="4" t="s">
        <v>512</v>
      </c>
      <c r="DG13" s="4" t="s">
        <v>512</v>
      </c>
      <c r="DH13" s="4" t="s">
        <v>512</v>
      </c>
      <c r="DI13" s="4" t="s">
        <v>512</v>
      </c>
      <c r="DJ13" s="4" t="s">
        <v>512</v>
      </c>
      <c r="DK13" s="4" t="s">
        <v>513</v>
      </c>
      <c r="DL13" s="4" t="s">
        <v>513</v>
      </c>
      <c r="DM13" s="4" t="s">
        <v>513</v>
      </c>
      <c r="DN13" s="4" t="s">
        <v>513</v>
      </c>
      <c r="DO13" s="4" t="s">
        <v>513</v>
      </c>
      <c r="DP13" s="4" t="s">
        <v>513</v>
      </c>
      <c r="DQ13" s="4" t="s">
        <v>513</v>
      </c>
      <c r="DR13" s="4" t="s">
        <v>513</v>
      </c>
    </row>
    <row r="14" spans="1:122" x14ac:dyDescent="0.2">
      <c r="A14" s="32" t="s">
        <v>489</v>
      </c>
      <c r="B14" s="13"/>
      <c r="C14" s="1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>
        <f>SourcedData!V93</f>
        <v>179</v>
      </c>
      <c r="O14" s="33">
        <f>SourcedData!W93</f>
        <v>201</v>
      </c>
      <c r="P14" s="33">
        <f>SourcedData!X93</f>
        <v>190</v>
      </c>
      <c r="Q14" s="33">
        <f>SourcedData!Y93</f>
        <v>191</v>
      </c>
      <c r="R14" s="33">
        <f>SourcedData!Z93</f>
        <v>182</v>
      </c>
      <c r="S14" s="33">
        <f>SourcedData!AA93</f>
        <v>201</v>
      </c>
      <c r="T14" s="33">
        <f>SourcedData!AB93</f>
        <v>196</v>
      </c>
      <c r="U14" s="33">
        <f>SourcedData!AC93</f>
        <v>190</v>
      </c>
      <c r="V14" s="33">
        <f>SourcedData!AD93</f>
        <v>201</v>
      </c>
      <c r="W14" s="33">
        <f>SourcedData!AE93</f>
        <v>190</v>
      </c>
      <c r="X14" s="33">
        <f>SourcedData!AF93</f>
        <v>215</v>
      </c>
      <c r="Y14" s="33">
        <f>SourcedData!AG93</f>
        <v>237</v>
      </c>
      <c r="Z14" s="33">
        <f>SourcedData!AH93</f>
        <v>207</v>
      </c>
      <c r="AA14" s="33">
        <f>SourcedData!AI93</f>
        <v>212</v>
      </c>
      <c r="AB14" s="33">
        <f>SourcedData!AJ93</f>
        <v>202</v>
      </c>
      <c r="AC14" s="33">
        <f>SourcedData!AK93</f>
        <v>199</v>
      </c>
      <c r="AD14" s="33">
        <f>SourcedData!AL93</f>
        <v>200</v>
      </c>
      <c r="AE14" s="33">
        <f>SourcedData!AM93</f>
        <v>209</v>
      </c>
      <c r="AF14" s="33">
        <f>SourcedData!AN93</f>
        <v>226</v>
      </c>
      <c r="AG14" s="33">
        <f>SourcedData!AO93</f>
        <v>214</v>
      </c>
      <c r="AH14" s="33">
        <f>SourcedData!AP93</f>
        <v>204</v>
      </c>
      <c r="AI14" s="33">
        <f>SourcedData!AQ93</f>
        <v>182</v>
      </c>
      <c r="AJ14" s="33">
        <f>SourcedData!AR93</f>
        <v>166</v>
      </c>
      <c r="AK14" s="33">
        <f>SourcedData!AS93</f>
        <v>101</v>
      </c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F14" s="36">
        <f t="shared" ref="BF14:BI18" si="4">AVERAGEIF($B$8:$AC$8,BF$9,$B14:$AC14)</f>
        <v>190.25</v>
      </c>
      <c r="BG14" s="36">
        <f t="shared" si="4"/>
        <v>192.25</v>
      </c>
      <c r="BH14" s="36">
        <f t="shared" si="4"/>
        <v>210.75</v>
      </c>
      <c r="BI14" s="36">
        <f t="shared" si="4"/>
        <v>205</v>
      </c>
      <c r="BJ14" s="36">
        <f t="shared" si="1"/>
        <v>212.25</v>
      </c>
      <c r="BK14" s="36">
        <f t="shared" si="2"/>
        <v>163.25</v>
      </c>
      <c r="BQ14" t="s">
        <v>506</v>
      </c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 t="s">
        <v>508</v>
      </c>
      <c r="CF14" s="4" t="s">
        <v>508</v>
      </c>
      <c r="CG14" s="4" t="s">
        <v>508</v>
      </c>
      <c r="CH14" s="4" t="s">
        <v>508</v>
      </c>
      <c r="CI14" s="4" t="s">
        <v>508</v>
      </c>
      <c r="CJ14" s="4" t="s">
        <v>508</v>
      </c>
      <c r="CK14" s="4" t="s">
        <v>508</v>
      </c>
      <c r="CL14" s="4" t="s">
        <v>508</v>
      </c>
      <c r="CM14" s="4" t="s">
        <v>508</v>
      </c>
      <c r="CN14" s="4" t="s">
        <v>508</v>
      </c>
      <c r="CO14" s="4" t="s">
        <v>508</v>
      </c>
      <c r="CP14" s="4" t="s">
        <v>508</v>
      </c>
      <c r="CQ14" s="4" t="s">
        <v>509</v>
      </c>
      <c r="CR14" s="4" t="s">
        <v>509</v>
      </c>
      <c r="CS14" s="4" t="s">
        <v>509</v>
      </c>
      <c r="CT14" s="4" t="s">
        <v>509</v>
      </c>
      <c r="CU14" s="4" t="s">
        <v>510</v>
      </c>
      <c r="CV14" s="4" t="s">
        <v>510</v>
      </c>
      <c r="CW14" s="4" t="s">
        <v>510</v>
      </c>
      <c r="CX14" s="4" t="s">
        <v>510</v>
      </c>
      <c r="CY14" s="4" t="s">
        <v>514</v>
      </c>
      <c r="CZ14" s="4" t="s">
        <v>514</v>
      </c>
      <c r="DA14" s="4" t="s">
        <v>514</v>
      </c>
      <c r="DB14" s="4" t="s">
        <v>514</v>
      </c>
      <c r="DC14" s="4" t="s">
        <v>512</v>
      </c>
      <c r="DD14" s="4" t="s">
        <v>512</v>
      </c>
      <c r="DE14" s="4" t="s">
        <v>512</v>
      </c>
      <c r="DF14" s="4" t="s">
        <v>512</v>
      </c>
      <c r="DG14" s="4" t="s">
        <v>512</v>
      </c>
      <c r="DH14" s="4" t="s">
        <v>512</v>
      </c>
      <c r="DI14" s="4" t="s">
        <v>512</v>
      </c>
      <c r="DJ14" s="4" t="s">
        <v>512</v>
      </c>
    </row>
    <row r="15" spans="1:122" x14ac:dyDescent="0.2">
      <c r="A15" s="32" t="s">
        <v>122</v>
      </c>
      <c r="B15" s="13">
        <f>SourcedData!J94</f>
        <v>400</v>
      </c>
      <c r="C15" s="13">
        <f>SourcedData!K94</f>
        <v>496</v>
      </c>
      <c r="D15" s="33">
        <f>SourcedData!L94</f>
        <v>520</v>
      </c>
      <c r="E15" s="33">
        <f>SourcedData!M94</f>
        <v>486</v>
      </c>
      <c r="F15" s="33">
        <f>SourcedData!N94</f>
        <v>466</v>
      </c>
      <c r="G15" s="33">
        <f>SourcedData!O94</f>
        <v>664</v>
      </c>
      <c r="H15" s="33">
        <f>SourcedData!P94</f>
        <v>837</v>
      </c>
      <c r="I15" s="33">
        <f>SourcedData!Q94</f>
        <v>792</v>
      </c>
      <c r="J15" s="33">
        <f>SourcedData!R94</f>
        <v>738</v>
      </c>
      <c r="K15" s="33">
        <f>SourcedData!S94</f>
        <v>769</v>
      </c>
      <c r="L15" s="33">
        <f>SourcedData!T94</f>
        <v>763</v>
      </c>
      <c r="M15" s="33">
        <f>SourcedData!U94</f>
        <v>687</v>
      </c>
      <c r="N15" s="33">
        <f>SourcedData!V94</f>
        <v>765</v>
      </c>
      <c r="O15" s="33">
        <f>SourcedData!W94</f>
        <v>633</v>
      </c>
      <c r="P15" s="33">
        <f>SourcedData!X94</f>
        <v>745</v>
      </c>
      <c r="Q15" s="33">
        <f>SourcedData!Y94</f>
        <v>741</v>
      </c>
      <c r="R15" s="33">
        <f>SourcedData!Z94</f>
        <v>643</v>
      </c>
      <c r="S15" s="33">
        <f>SourcedData!AA94</f>
        <v>678</v>
      </c>
      <c r="T15" s="33">
        <f>SourcedData!AB94</f>
        <v>765</v>
      </c>
      <c r="U15" s="33">
        <f>SourcedData!AC94</f>
        <v>674</v>
      </c>
      <c r="V15" s="33">
        <f>SourcedData!AD94</f>
        <v>686</v>
      </c>
      <c r="W15" s="33">
        <f>SourcedData!AE94</f>
        <v>709</v>
      </c>
      <c r="X15" s="33">
        <f>SourcedData!AF94</f>
        <v>828</v>
      </c>
      <c r="Y15" s="33">
        <f>SourcedData!AG94</f>
        <v>714</v>
      </c>
      <c r="Z15" s="33">
        <f>SourcedData!AH94</f>
        <v>734</v>
      </c>
      <c r="AA15" s="33">
        <f>SourcedData!AI94</f>
        <v>775</v>
      </c>
      <c r="AB15" s="33">
        <f>SourcedData!AJ94</f>
        <v>792</v>
      </c>
      <c r="AC15" s="33">
        <f>SourcedData!AK94</f>
        <v>815</v>
      </c>
      <c r="AD15" s="33">
        <f>SourcedData!AL94</f>
        <v>811</v>
      </c>
      <c r="AE15" s="33">
        <f>SourcedData!AM94</f>
        <v>737</v>
      </c>
      <c r="AF15" s="33">
        <f>SourcedData!AN94</f>
        <v>971</v>
      </c>
      <c r="AG15" s="33">
        <f>SourcedData!AO94</f>
        <v>841</v>
      </c>
      <c r="AH15" s="33">
        <f>SourcedData!AP94</f>
        <v>995</v>
      </c>
      <c r="AI15" s="33">
        <f>SourcedData!AQ94</f>
        <v>872</v>
      </c>
      <c r="AJ15" s="33">
        <f>SourcedData!AR94</f>
        <v>935</v>
      </c>
      <c r="AK15" s="33">
        <f>SourcedData!AS94</f>
        <v>850</v>
      </c>
      <c r="AL15" s="33">
        <f>SourcedData!AT94</f>
        <v>995</v>
      </c>
      <c r="AM15" s="33">
        <f>SourcedData!AU94</f>
        <v>852</v>
      </c>
      <c r="AN15" s="33">
        <f>SourcedData!AV94</f>
        <v>838</v>
      </c>
      <c r="AO15" s="33">
        <f>SourcedData!AW94</f>
        <v>777</v>
      </c>
      <c r="AP15" s="33">
        <f>SourcedData!AX94</f>
        <v>683</v>
      </c>
      <c r="AQ15" s="33">
        <f>SourcedData!AY94</f>
        <v>742</v>
      </c>
      <c r="AR15" s="33">
        <f>SourcedData!AZ94</f>
        <v>806</v>
      </c>
      <c r="AS15" s="33">
        <f>SourcedData!BA94</f>
        <v>878</v>
      </c>
      <c r="AT15" s="33">
        <f>SourcedData!BB94</f>
        <v>712</v>
      </c>
      <c r="AU15" s="33">
        <f>SourcedData!BC94</f>
        <v>771</v>
      </c>
      <c r="AV15" s="33">
        <f>SourcedData!BD94</f>
        <v>810</v>
      </c>
      <c r="AW15" s="33">
        <f>SourcedData!BE94</f>
        <v>885</v>
      </c>
      <c r="AX15" s="33">
        <f>SourcedData!BF94</f>
        <v>884</v>
      </c>
      <c r="AY15" s="33">
        <f>SourcedData!BG94</f>
        <v>784</v>
      </c>
      <c r="AZ15" s="33">
        <f>SourcedData!BH94</f>
        <v>949</v>
      </c>
      <c r="BA15">
        <f>SourcedData!BI94</f>
        <v>945</v>
      </c>
      <c r="BC15" s="36">
        <f t="shared" ref="BC15:BE18" si="5">AVERAGEIF($B$8:$AC$8,BC$9,$B15:$AC15)</f>
        <v>475.5</v>
      </c>
      <c r="BD15" s="36">
        <f t="shared" si="5"/>
        <v>689.75</v>
      </c>
      <c r="BE15" s="36">
        <f t="shared" si="5"/>
        <v>739.25</v>
      </c>
      <c r="BF15" s="36">
        <f t="shared" si="4"/>
        <v>721</v>
      </c>
      <c r="BG15" s="36">
        <f t="shared" si="4"/>
        <v>690</v>
      </c>
      <c r="BH15" s="36">
        <f t="shared" si="4"/>
        <v>734.25</v>
      </c>
      <c r="BI15" s="36">
        <f t="shared" si="4"/>
        <v>779</v>
      </c>
      <c r="BJ15" s="36">
        <f t="shared" si="1"/>
        <v>840</v>
      </c>
      <c r="BK15" s="36">
        <f t="shared" si="2"/>
        <v>913</v>
      </c>
      <c r="BL15" s="36">
        <f>AVERAGEIF($B$8:$BA$8,BL$9,$B15:$BA15)</f>
        <v>865.5</v>
      </c>
      <c r="BM15" s="36">
        <f>AVERAGEIF($B$8:$BA$8,BM$9,$B15:$BA15)</f>
        <v>777.25</v>
      </c>
      <c r="BN15" s="36">
        <f>AVERAGEIF($B$8:$BA$8,BN$9,$B15:$BA15)</f>
        <v>794.5</v>
      </c>
      <c r="BO15" s="36">
        <f>AVERAGEIF($B$8:$BA$8,BO$9,$B15:$BA15)</f>
        <v>890.5</v>
      </c>
      <c r="BQ15" t="s">
        <v>506</v>
      </c>
      <c r="BS15" s="4" t="s">
        <v>507</v>
      </c>
      <c r="BT15" s="4" t="s">
        <v>507</v>
      </c>
      <c r="BU15" s="4" t="s">
        <v>507</v>
      </c>
      <c r="BV15" s="4" t="s">
        <v>507</v>
      </c>
      <c r="BW15" s="4" t="s">
        <v>507</v>
      </c>
      <c r="BX15" s="4" t="s">
        <v>507</v>
      </c>
      <c r="BY15" s="4" t="s">
        <v>507</v>
      </c>
      <c r="BZ15" s="4" t="s">
        <v>507</v>
      </c>
      <c r="CA15" s="4" t="s">
        <v>507</v>
      </c>
      <c r="CB15" s="4" t="s">
        <v>507</v>
      </c>
      <c r="CC15" s="4" t="s">
        <v>507</v>
      </c>
      <c r="CD15" s="4" t="s">
        <v>507</v>
      </c>
      <c r="CE15" s="4" t="s">
        <v>507</v>
      </c>
      <c r="CF15" s="4" t="s">
        <v>507</v>
      </c>
      <c r="CG15" s="4" t="s">
        <v>507</v>
      </c>
      <c r="CH15" s="4" t="s">
        <v>507</v>
      </c>
      <c r="CI15" s="4" t="s">
        <v>508</v>
      </c>
      <c r="CJ15" s="4" t="s">
        <v>508</v>
      </c>
      <c r="CK15" s="4" t="s">
        <v>508</v>
      </c>
      <c r="CL15" s="4" t="s">
        <v>508</v>
      </c>
      <c r="CM15" s="4" t="s">
        <v>508</v>
      </c>
      <c r="CN15" s="4" t="s">
        <v>508</v>
      </c>
      <c r="CO15" s="4" t="s">
        <v>508</v>
      </c>
      <c r="CP15" s="4" t="s">
        <v>508</v>
      </c>
      <c r="CQ15" s="4" t="s">
        <v>509</v>
      </c>
      <c r="CR15" s="4" t="s">
        <v>509</v>
      </c>
      <c r="CS15" s="4" t="s">
        <v>509</v>
      </c>
      <c r="CT15" s="4" t="s">
        <v>509</v>
      </c>
      <c r="CU15" s="4" t="s">
        <v>510</v>
      </c>
      <c r="CV15" s="4" t="s">
        <v>510</v>
      </c>
      <c r="CW15" s="4" t="s">
        <v>510</v>
      </c>
      <c r="CX15" s="4" t="s">
        <v>510</v>
      </c>
      <c r="CY15" s="4" t="s">
        <v>514</v>
      </c>
      <c r="CZ15" s="4" t="s">
        <v>514</v>
      </c>
      <c r="DA15" s="4" t="s">
        <v>514</v>
      </c>
      <c r="DB15" s="4" t="s">
        <v>514</v>
      </c>
      <c r="DC15" s="4" t="s">
        <v>512</v>
      </c>
      <c r="DD15" s="4" t="s">
        <v>512</v>
      </c>
      <c r="DE15" s="4" t="s">
        <v>512</v>
      </c>
      <c r="DF15" s="4" t="s">
        <v>512</v>
      </c>
      <c r="DG15" s="4" t="s">
        <v>512</v>
      </c>
      <c r="DH15" s="4" t="s">
        <v>512</v>
      </c>
      <c r="DI15" s="4" t="s">
        <v>512</v>
      </c>
      <c r="DJ15" s="4" t="s">
        <v>512</v>
      </c>
      <c r="DK15" s="4" t="s">
        <v>513</v>
      </c>
      <c r="DL15" s="4" t="s">
        <v>513</v>
      </c>
      <c r="DM15" s="4" t="s">
        <v>513</v>
      </c>
      <c r="DN15" s="4" t="s">
        <v>513</v>
      </c>
      <c r="DO15" s="4" t="s">
        <v>513</v>
      </c>
      <c r="DP15" s="4" t="s">
        <v>513</v>
      </c>
      <c r="DQ15" s="4" t="s">
        <v>513</v>
      </c>
      <c r="DR15" s="4" t="s">
        <v>513</v>
      </c>
    </row>
    <row r="16" spans="1:122" x14ac:dyDescent="0.2">
      <c r="A16" s="32" t="s">
        <v>132</v>
      </c>
      <c r="B16" s="13">
        <f>SourcedData!J95</f>
        <v>757</v>
      </c>
      <c r="C16" s="13">
        <f>SourcedData!K95</f>
        <v>803</v>
      </c>
      <c r="D16" s="33">
        <f>SourcedData!L95</f>
        <v>827</v>
      </c>
      <c r="E16" s="33">
        <f>SourcedData!M95</f>
        <v>627</v>
      </c>
      <c r="F16" s="33">
        <f>SourcedData!N95</f>
        <v>525</v>
      </c>
      <c r="G16" s="33">
        <f>SourcedData!O95</f>
        <v>577</v>
      </c>
      <c r="H16" s="33">
        <f>SourcedData!P95</f>
        <v>638</v>
      </c>
      <c r="I16" s="33">
        <f>SourcedData!Q95</f>
        <v>613</v>
      </c>
      <c r="J16" s="33">
        <f>SourcedData!R95</f>
        <v>670</v>
      </c>
      <c r="K16" s="33">
        <f>SourcedData!S95</f>
        <v>668</v>
      </c>
      <c r="L16" s="33">
        <f>SourcedData!T95</f>
        <v>748</v>
      </c>
      <c r="M16" s="33">
        <f>SourcedData!U95</f>
        <v>607</v>
      </c>
      <c r="N16" s="33">
        <f>SourcedData!V95</f>
        <v>704</v>
      </c>
      <c r="O16" s="33">
        <f>SourcedData!W95</f>
        <v>798</v>
      </c>
      <c r="P16" s="33">
        <f>SourcedData!X95</f>
        <v>797</v>
      </c>
      <c r="Q16" s="33">
        <f>SourcedData!Y95</f>
        <v>776</v>
      </c>
      <c r="R16" s="33">
        <f>SourcedData!Z95</f>
        <v>735</v>
      </c>
      <c r="S16" s="33">
        <f>SourcedData!AA95</f>
        <v>752</v>
      </c>
      <c r="T16" s="33">
        <f>SourcedData!AB95</f>
        <v>766</v>
      </c>
      <c r="U16" s="33">
        <f>SourcedData!AC95</f>
        <v>767</v>
      </c>
      <c r="V16" s="33">
        <f>SourcedData!AD95</f>
        <v>658</v>
      </c>
      <c r="W16" s="33">
        <f>SourcedData!AE95</f>
        <v>770</v>
      </c>
      <c r="X16" s="33">
        <f>SourcedData!AF95</f>
        <v>737</v>
      </c>
      <c r="Y16" s="33">
        <f>SourcedData!AG95</f>
        <v>746</v>
      </c>
      <c r="Z16" s="33">
        <f>SourcedData!AH95</f>
        <v>833</v>
      </c>
      <c r="AA16" s="33">
        <f>SourcedData!AI95</f>
        <v>753</v>
      </c>
      <c r="AB16" s="33">
        <f>SourcedData!AJ95</f>
        <v>747</v>
      </c>
      <c r="AC16" s="33">
        <f>SourcedData!AK95</f>
        <v>838</v>
      </c>
      <c r="AD16" s="33">
        <f>SourcedData!AL95</f>
        <v>887</v>
      </c>
      <c r="AE16" s="33">
        <f>SourcedData!AM95</f>
        <v>875</v>
      </c>
      <c r="AF16" s="33">
        <f>SourcedData!AN95</f>
        <v>911</v>
      </c>
      <c r="AG16" s="33">
        <f>SourcedData!AO95</f>
        <v>911</v>
      </c>
      <c r="AH16" s="33">
        <f>SourcedData!AP95</f>
        <v>816</v>
      </c>
      <c r="AI16" s="33">
        <f>SourcedData!AQ95</f>
        <v>905</v>
      </c>
      <c r="AJ16" s="33">
        <f>SourcedData!AR95</f>
        <v>786</v>
      </c>
      <c r="AK16" s="33">
        <f>SourcedData!AS95</f>
        <v>729</v>
      </c>
      <c r="AL16" s="33">
        <f>SourcedData!AT95</f>
        <v>684</v>
      </c>
      <c r="AM16" s="33">
        <f>SourcedData!AU95</f>
        <v>545</v>
      </c>
      <c r="AN16" s="33">
        <f>SourcedData!AV95</f>
        <v>387</v>
      </c>
      <c r="AO16" s="33">
        <f>SourcedData!AW95</f>
        <v>271</v>
      </c>
      <c r="AP16" s="33">
        <f>SourcedData!AX95</f>
        <v>187</v>
      </c>
      <c r="AQ16" s="33">
        <f>SourcedData!AY95</f>
        <v>95</v>
      </c>
      <c r="AR16" s="33">
        <f>SourcedData!AZ95</f>
        <v>101</v>
      </c>
      <c r="AS16" s="33">
        <f>SourcedData!BA95</f>
        <v>99</v>
      </c>
      <c r="AT16" s="33"/>
      <c r="AU16" s="33"/>
      <c r="AV16" s="33"/>
      <c r="AW16" s="33"/>
      <c r="AX16" s="33"/>
      <c r="AY16" s="33"/>
      <c r="AZ16" s="33"/>
      <c r="BC16" s="36">
        <f t="shared" si="5"/>
        <v>753.5</v>
      </c>
      <c r="BD16" s="36">
        <f t="shared" si="5"/>
        <v>588.25</v>
      </c>
      <c r="BE16" s="36">
        <f t="shared" si="5"/>
        <v>673.25</v>
      </c>
      <c r="BF16" s="36">
        <f t="shared" si="4"/>
        <v>768.75</v>
      </c>
      <c r="BG16" s="36">
        <f t="shared" si="4"/>
        <v>755</v>
      </c>
      <c r="BH16" s="36">
        <f t="shared" si="4"/>
        <v>727.75</v>
      </c>
      <c r="BI16" s="36">
        <f t="shared" si="4"/>
        <v>792.75</v>
      </c>
      <c r="BJ16" s="36">
        <f t="shared" si="1"/>
        <v>896</v>
      </c>
      <c r="BK16" s="36">
        <f t="shared" si="2"/>
        <v>809</v>
      </c>
      <c r="BL16" s="36">
        <f>AVERAGEIF($B$8:$BA$8,BL$9,$B16:$BA16)</f>
        <v>471.75</v>
      </c>
      <c r="BQ16" t="s">
        <v>506</v>
      </c>
      <c r="BS16" s="4" t="s">
        <v>507</v>
      </c>
      <c r="BT16" s="4" t="s">
        <v>507</v>
      </c>
      <c r="BU16" s="4" t="s">
        <v>507</v>
      </c>
      <c r="BV16" s="4" t="s">
        <v>507</v>
      </c>
      <c r="BW16" s="4" t="s">
        <v>507</v>
      </c>
      <c r="BX16" s="4" t="s">
        <v>507</v>
      </c>
      <c r="BY16" s="4" t="s">
        <v>507</v>
      </c>
      <c r="BZ16" s="4" t="s">
        <v>507</v>
      </c>
      <c r="CA16" s="4" t="s">
        <v>507</v>
      </c>
      <c r="CB16" s="4" t="s">
        <v>507</v>
      </c>
      <c r="CC16" s="4" t="s">
        <v>507</v>
      </c>
      <c r="CD16" s="4" t="s">
        <v>507</v>
      </c>
      <c r="CE16" s="4" t="s">
        <v>507</v>
      </c>
      <c r="CF16" s="4" t="s">
        <v>507</v>
      </c>
      <c r="CG16" s="4" t="s">
        <v>507</v>
      </c>
      <c r="CH16" s="4" t="s">
        <v>507</v>
      </c>
      <c r="CI16" s="4" t="s">
        <v>508</v>
      </c>
      <c r="CJ16" s="4" t="s">
        <v>508</v>
      </c>
      <c r="CK16" s="4" t="s">
        <v>508</v>
      </c>
      <c r="CL16" s="4" t="s">
        <v>508</v>
      </c>
      <c r="CM16" s="4" t="s">
        <v>508</v>
      </c>
      <c r="CN16" s="4" t="s">
        <v>508</v>
      </c>
      <c r="CO16" s="4" t="s">
        <v>508</v>
      </c>
      <c r="CP16" s="4" t="s">
        <v>508</v>
      </c>
      <c r="CQ16" s="4" t="s">
        <v>509</v>
      </c>
      <c r="CR16" s="4" t="s">
        <v>509</v>
      </c>
      <c r="CS16" s="4" t="s">
        <v>509</v>
      </c>
      <c r="CT16" s="4" t="s">
        <v>509</v>
      </c>
      <c r="CU16" s="4" t="s">
        <v>510</v>
      </c>
      <c r="CV16" s="4" t="s">
        <v>510</v>
      </c>
      <c r="CW16" s="4" t="s">
        <v>510</v>
      </c>
      <c r="CX16" s="4" t="s">
        <v>510</v>
      </c>
      <c r="CY16" s="4" t="s">
        <v>514</v>
      </c>
      <c r="CZ16" s="4" t="s">
        <v>514</v>
      </c>
      <c r="DA16" s="4" t="s">
        <v>514</v>
      </c>
      <c r="DB16" s="4" t="s">
        <v>514</v>
      </c>
      <c r="DC16" s="4" t="s">
        <v>512</v>
      </c>
      <c r="DD16" s="4" t="s">
        <v>512</v>
      </c>
      <c r="DE16" s="4" t="s">
        <v>512</v>
      </c>
      <c r="DF16" s="4" t="s">
        <v>512</v>
      </c>
      <c r="DG16" s="4" t="s">
        <v>512</v>
      </c>
      <c r="DH16" s="4" t="s">
        <v>512</v>
      </c>
      <c r="DI16" s="4" t="s">
        <v>512</v>
      </c>
      <c r="DJ16" s="4" t="s">
        <v>512</v>
      </c>
      <c r="DK16" s="4"/>
      <c r="DL16" s="4"/>
      <c r="DM16" s="4"/>
      <c r="DN16" s="4"/>
      <c r="DO16" s="4"/>
    </row>
    <row r="17" spans="1:122" x14ac:dyDescent="0.2">
      <c r="A17" s="32" t="s">
        <v>105</v>
      </c>
      <c r="B17" s="13"/>
      <c r="C17" s="13"/>
      <c r="D17" s="33">
        <f>SourcedData!L96</f>
        <v>141</v>
      </c>
      <c r="E17" s="33">
        <f>SourcedData!M96</f>
        <v>293</v>
      </c>
      <c r="F17" s="33">
        <f>SourcedData!N96</f>
        <v>568</v>
      </c>
      <c r="G17" s="33"/>
      <c r="H17" s="33">
        <f>SourcedData!P96</f>
        <v>714</v>
      </c>
      <c r="I17" s="33">
        <f>SourcedData!Q96</f>
        <v>853</v>
      </c>
      <c r="J17" s="33">
        <f>SourcedData!R96</f>
        <v>659</v>
      </c>
      <c r="K17" s="33">
        <f>SourcedData!S96</f>
        <v>651</v>
      </c>
      <c r="L17" s="33">
        <f>SourcedData!T96</f>
        <v>725</v>
      </c>
      <c r="M17" s="33">
        <f>SourcedData!U96</f>
        <v>988</v>
      </c>
      <c r="N17" s="33">
        <f>SourcedData!V96</f>
        <v>1016</v>
      </c>
      <c r="O17" s="33">
        <f>SourcedData!W96</f>
        <v>1016</v>
      </c>
      <c r="P17" s="33">
        <f>SourcedData!X96</f>
        <v>1508</v>
      </c>
      <c r="Q17" s="33">
        <f>SourcedData!Y96</f>
        <v>1158</v>
      </c>
      <c r="R17" s="33">
        <f>SourcedData!Z96</f>
        <v>797</v>
      </c>
      <c r="S17" s="33">
        <f>SourcedData!AA96</f>
        <v>648</v>
      </c>
      <c r="T17" s="33">
        <f>SourcedData!AB96</f>
        <v>622</v>
      </c>
      <c r="U17" s="33">
        <f>SourcedData!AC96</f>
        <v>669</v>
      </c>
      <c r="V17" s="33">
        <f>SourcedData!AD96</f>
        <v>717</v>
      </c>
      <c r="W17" s="33">
        <f>SourcedData!AE96</f>
        <v>643</v>
      </c>
      <c r="X17" s="33">
        <f>SourcedData!AF96</f>
        <v>693</v>
      </c>
      <c r="Y17" s="33">
        <f>SourcedData!AG96</f>
        <v>777</v>
      </c>
      <c r="Z17" s="33">
        <f>SourcedData!AH96</f>
        <v>692</v>
      </c>
      <c r="AA17" s="33">
        <f>SourcedData!AI96</f>
        <v>684</v>
      </c>
      <c r="AB17" s="33">
        <f>SourcedData!AJ96</f>
        <v>767</v>
      </c>
      <c r="AC17" s="33">
        <f>SourcedData!AK96</f>
        <v>771</v>
      </c>
      <c r="AD17" s="33">
        <f>SourcedData!AL96</f>
        <v>795</v>
      </c>
      <c r="AE17" s="33">
        <f>SourcedData!AM96</f>
        <v>795</v>
      </c>
      <c r="AF17" s="33">
        <f>SourcedData!AN96</f>
        <v>833</v>
      </c>
      <c r="AG17" s="33">
        <f>SourcedData!AO96</f>
        <v>902</v>
      </c>
      <c r="AH17" s="33">
        <f>SourcedData!AP96</f>
        <v>908</v>
      </c>
      <c r="AI17" s="33">
        <f>SourcedData!AQ96</f>
        <v>849</v>
      </c>
      <c r="AJ17" s="61" t="s">
        <v>157</v>
      </c>
      <c r="AK17" s="61" t="s">
        <v>157</v>
      </c>
      <c r="AL17" s="61" t="s">
        <v>157</v>
      </c>
      <c r="AM17" s="61" t="s">
        <v>157</v>
      </c>
      <c r="AN17" s="33">
        <f>SourcedData!AV96</f>
        <v>601</v>
      </c>
      <c r="AO17" s="33">
        <f>SourcedData!AW96</f>
        <v>806</v>
      </c>
      <c r="AP17" s="33">
        <f>SourcedData!AX96</f>
        <v>691</v>
      </c>
      <c r="AQ17" s="33">
        <f>SourcedData!AY96</f>
        <v>735</v>
      </c>
      <c r="AR17" s="33">
        <f>SourcedData!AZ96</f>
        <v>821</v>
      </c>
      <c r="AS17" s="33">
        <f>SourcedData!BA96</f>
        <v>894</v>
      </c>
      <c r="AT17" s="33">
        <f>SourcedData!BB96</f>
        <v>971</v>
      </c>
      <c r="AU17" s="33">
        <f>SourcedData!BC96</f>
        <v>1376</v>
      </c>
      <c r="AV17" s="33">
        <f>SourcedData!BD96</f>
        <v>1138</v>
      </c>
      <c r="AW17" s="33">
        <f>SourcedData!BE96</f>
        <v>1118</v>
      </c>
      <c r="AX17" s="33">
        <f>SourcedData!BF96</f>
        <v>1194</v>
      </c>
      <c r="AY17" s="33">
        <f>SourcedData!BG96</f>
        <v>1093</v>
      </c>
      <c r="AZ17" s="33">
        <f>SourcedData!BH96</f>
        <v>404</v>
      </c>
      <c r="BA17">
        <f>SourcedData!BI96</f>
        <v>262</v>
      </c>
      <c r="BC17" s="36">
        <f t="shared" si="5"/>
        <v>217</v>
      </c>
      <c r="BD17" s="36">
        <f t="shared" si="5"/>
        <v>711.66666666666663</v>
      </c>
      <c r="BE17" s="36">
        <f t="shared" si="5"/>
        <v>755.75</v>
      </c>
      <c r="BF17" s="62">
        <f t="shared" si="4"/>
        <v>1174.5</v>
      </c>
      <c r="BG17" s="36">
        <f t="shared" si="4"/>
        <v>684</v>
      </c>
      <c r="BH17" s="36">
        <f t="shared" si="4"/>
        <v>707.5</v>
      </c>
      <c r="BI17" s="36">
        <f t="shared" si="4"/>
        <v>728.5</v>
      </c>
      <c r="BJ17" s="36">
        <f t="shared" si="1"/>
        <v>831.25</v>
      </c>
      <c r="BK17" s="36">
        <f t="shared" si="2"/>
        <v>878.5</v>
      </c>
      <c r="BL17" s="36">
        <f>AVERAGEIF($B$8:$BA$8,BL$9,$B17:$BA17)</f>
        <v>703.5</v>
      </c>
      <c r="BM17" s="36">
        <f t="shared" ref="BM17:BN20" si="6">AVERAGEIF($B$8:$BA$8,BM$9,$B17:$BA17)</f>
        <v>785.25</v>
      </c>
      <c r="BN17" s="36">
        <f t="shared" si="6"/>
        <v>1150.75</v>
      </c>
      <c r="BO17" s="36">
        <f>AVERAGE(AX17:AY17)</f>
        <v>1143.5</v>
      </c>
      <c r="BP17" s="63"/>
      <c r="BQ17" t="s">
        <v>515</v>
      </c>
      <c r="BS17" s="4" t="s">
        <v>507</v>
      </c>
      <c r="BT17" s="4" t="s">
        <v>507</v>
      </c>
      <c r="BU17" s="4" t="s">
        <v>507</v>
      </c>
      <c r="BV17" s="4" t="s">
        <v>507</v>
      </c>
      <c r="BW17" s="4" t="s">
        <v>507</v>
      </c>
      <c r="BX17" s="4" t="s">
        <v>507</v>
      </c>
      <c r="BY17" s="4" t="s">
        <v>507</v>
      </c>
      <c r="BZ17" s="4" t="s">
        <v>507</v>
      </c>
      <c r="CA17" s="4" t="s">
        <v>507</v>
      </c>
      <c r="CB17" s="4" t="s">
        <v>507</v>
      </c>
      <c r="CC17" s="4" t="s">
        <v>507</v>
      </c>
      <c r="CD17" s="4" t="s">
        <v>507</v>
      </c>
      <c r="CE17" s="4" t="s">
        <v>507</v>
      </c>
      <c r="CF17" s="4" t="s">
        <v>507</v>
      </c>
      <c r="CG17" s="4" t="s">
        <v>507</v>
      </c>
      <c r="CH17" s="4" t="s">
        <v>507</v>
      </c>
      <c r="CI17" s="4" t="s">
        <v>508</v>
      </c>
      <c r="CJ17" s="4" t="s">
        <v>508</v>
      </c>
      <c r="CK17" s="4" t="s">
        <v>508</v>
      </c>
      <c r="CL17" s="4" t="s">
        <v>508</v>
      </c>
      <c r="CM17" s="4" t="s">
        <v>508</v>
      </c>
      <c r="CN17" s="4" t="s">
        <v>508</v>
      </c>
      <c r="CO17" s="4" t="s">
        <v>508</v>
      </c>
      <c r="CP17" s="4" t="s">
        <v>508</v>
      </c>
      <c r="CQ17" s="4" t="s">
        <v>509</v>
      </c>
      <c r="CR17" s="4" t="s">
        <v>509</v>
      </c>
      <c r="CS17" s="4" t="s">
        <v>509</v>
      </c>
      <c r="CT17" s="4" t="s">
        <v>509</v>
      </c>
      <c r="CU17" s="4" t="s">
        <v>510</v>
      </c>
      <c r="CV17" s="4" t="s">
        <v>510</v>
      </c>
      <c r="CW17" s="4" t="s">
        <v>510</v>
      </c>
      <c r="CX17" s="4" t="s">
        <v>510</v>
      </c>
      <c r="CY17" s="4" t="s">
        <v>514</v>
      </c>
      <c r="CZ17" s="4" t="s">
        <v>514</v>
      </c>
      <c r="DA17" s="4" t="s">
        <v>514</v>
      </c>
      <c r="DB17" s="4" t="s">
        <v>514</v>
      </c>
      <c r="DC17" s="4" t="s">
        <v>512</v>
      </c>
      <c r="DD17" s="4" t="s">
        <v>512</v>
      </c>
      <c r="DE17" s="4" t="s">
        <v>512</v>
      </c>
      <c r="DF17" s="4" t="s">
        <v>512</v>
      </c>
      <c r="DG17" s="4" t="s">
        <v>512</v>
      </c>
      <c r="DH17" s="4" t="s">
        <v>512</v>
      </c>
      <c r="DI17" s="4" t="s">
        <v>512</v>
      </c>
      <c r="DJ17" s="4" t="s">
        <v>512</v>
      </c>
      <c r="DK17" s="4" t="s">
        <v>513</v>
      </c>
      <c r="DL17" s="4" t="s">
        <v>513</v>
      </c>
      <c r="DM17" s="4" t="s">
        <v>513</v>
      </c>
      <c r="DN17" s="4" t="s">
        <v>513</v>
      </c>
      <c r="DO17" s="4" t="s">
        <v>513</v>
      </c>
      <c r="DP17" s="4" t="s">
        <v>513</v>
      </c>
      <c r="DQ17" s="4" t="s">
        <v>513</v>
      </c>
      <c r="DR17" s="4" t="s">
        <v>513</v>
      </c>
    </row>
    <row r="18" spans="1:122" x14ac:dyDescent="0.2">
      <c r="A18" s="32" t="s">
        <v>104</v>
      </c>
      <c r="B18" s="13">
        <f>SourcedData!J97</f>
        <v>913</v>
      </c>
      <c r="C18" s="13">
        <f>SourcedData!K97</f>
        <v>889</v>
      </c>
      <c r="D18" s="33">
        <f>SourcedData!L97</f>
        <v>856</v>
      </c>
      <c r="E18" s="33">
        <f>SourcedData!M97</f>
        <v>692</v>
      </c>
      <c r="F18" s="33">
        <f>SourcedData!N97</f>
        <v>737</v>
      </c>
      <c r="G18" s="33">
        <f>SourcedData!O97</f>
        <v>802</v>
      </c>
      <c r="H18" s="33">
        <f>SourcedData!P97</f>
        <v>537</v>
      </c>
      <c r="I18" s="33">
        <f>SourcedData!Q97</f>
        <v>716</v>
      </c>
      <c r="J18" s="33">
        <f>SourcedData!R97</f>
        <v>815</v>
      </c>
      <c r="K18" s="33">
        <f>SourcedData!S97</f>
        <v>820</v>
      </c>
      <c r="L18" s="33">
        <f>SourcedData!T97</f>
        <v>729</v>
      </c>
      <c r="M18" s="33">
        <f>SourcedData!U97</f>
        <v>691</v>
      </c>
      <c r="N18" s="33">
        <f>SourcedData!V97</f>
        <v>657</v>
      </c>
      <c r="O18" s="33">
        <f>SourcedData!W97</f>
        <v>721</v>
      </c>
      <c r="P18" s="33">
        <f>SourcedData!X97</f>
        <v>794</v>
      </c>
      <c r="Q18" s="33">
        <f>SourcedData!Y97</f>
        <v>728</v>
      </c>
      <c r="R18" s="33">
        <f>SourcedData!Z97</f>
        <v>840</v>
      </c>
      <c r="S18" s="33"/>
      <c r="T18" s="33">
        <f>SourcedData!AB97</f>
        <v>696</v>
      </c>
      <c r="U18" s="33">
        <f>SourcedData!AC97</f>
        <v>782</v>
      </c>
      <c r="V18" s="33">
        <f>SourcedData!AD97</f>
        <v>795</v>
      </c>
      <c r="W18" s="33">
        <f>SourcedData!AE97</f>
        <v>882</v>
      </c>
      <c r="X18" s="33">
        <f>SourcedData!AF97</f>
        <v>830</v>
      </c>
      <c r="Y18" s="33">
        <f>SourcedData!AG97</f>
        <v>873</v>
      </c>
      <c r="Z18" s="33">
        <f>SourcedData!AH97</f>
        <v>950</v>
      </c>
      <c r="AA18" s="33">
        <f>SourcedData!AI97</f>
        <v>1123</v>
      </c>
      <c r="AB18" s="33">
        <f>SourcedData!AJ97</f>
        <v>1013</v>
      </c>
      <c r="AC18" s="33">
        <f>SourcedData!AK97</f>
        <v>1181</v>
      </c>
      <c r="AD18" s="33">
        <f>SourcedData!AL97</f>
        <v>1245</v>
      </c>
      <c r="AE18" s="33">
        <f>SourcedData!AM97</f>
        <v>1237</v>
      </c>
      <c r="AF18" s="33">
        <f>SourcedData!AN97</f>
        <v>1291</v>
      </c>
      <c r="AG18" s="33">
        <f>SourcedData!AO97</f>
        <v>1372</v>
      </c>
      <c r="AH18" s="33">
        <f>SourcedData!AP97</f>
        <v>1452</v>
      </c>
      <c r="AI18" s="33">
        <f>SourcedData!AQ97</f>
        <v>1285</v>
      </c>
      <c r="AJ18" s="33">
        <f>SourcedData!AR97</f>
        <v>1136</v>
      </c>
      <c r="AK18" s="33">
        <f>SourcedData!AS97</f>
        <v>1171</v>
      </c>
      <c r="AL18" s="33">
        <f>SourcedData!AT97</f>
        <v>1125</v>
      </c>
      <c r="AM18" s="33">
        <f>SourcedData!AU97</f>
        <v>1198</v>
      </c>
      <c r="AN18" s="33">
        <f>SourcedData!AV97</f>
        <v>1227</v>
      </c>
      <c r="AO18" s="33">
        <f>SourcedData!AW97</f>
        <v>1313</v>
      </c>
      <c r="AP18" s="33">
        <f>SourcedData!AX97</f>
        <v>1317</v>
      </c>
      <c r="AQ18" s="33">
        <f>SourcedData!AY97</f>
        <v>1069</v>
      </c>
      <c r="AR18" s="33">
        <f>SourcedData!AZ97</f>
        <v>1275</v>
      </c>
      <c r="AS18" s="33">
        <f>SourcedData!BA97</f>
        <v>1229</v>
      </c>
      <c r="AT18" s="33">
        <f>SourcedData!BB97</f>
        <v>1180</v>
      </c>
      <c r="AU18" s="33">
        <f>SourcedData!BC97</f>
        <v>1133</v>
      </c>
      <c r="AV18" s="33">
        <f>SourcedData!BD97</f>
        <v>1140</v>
      </c>
      <c r="AW18" s="33">
        <f>SourcedData!BE97</f>
        <v>1113</v>
      </c>
      <c r="AX18" s="33">
        <f>SourcedData!BF97</f>
        <v>1129</v>
      </c>
      <c r="AY18" s="33">
        <f>SourcedData!BG97</f>
        <v>1179</v>
      </c>
      <c r="AZ18" s="33">
        <f>SourcedData!BH97</f>
        <v>1276</v>
      </c>
      <c r="BA18">
        <f>SourcedData!BI97</f>
        <v>1370</v>
      </c>
      <c r="BC18" s="36">
        <f t="shared" si="5"/>
        <v>837.5</v>
      </c>
      <c r="BD18" s="36">
        <f t="shared" si="5"/>
        <v>698</v>
      </c>
      <c r="BE18" s="36">
        <f t="shared" si="5"/>
        <v>763.75</v>
      </c>
      <c r="BF18" s="36">
        <f t="shared" si="4"/>
        <v>725</v>
      </c>
      <c r="BG18" s="36">
        <f t="shared" si="4"/>
        <v>772.66666666666663</v>
      </c>
      <c r="BH18" s="36">
        <f t="shared" si="4"/>
        <v>845</v>
      </c>
      <c r="BI18" s="36">
        <f t="shared" si="4"/>
        <v>1066.75</v>
      </c>
      <c r="BJ18" s="62">
        <f t="shared" si="1"/>
        <v>1286.25</v>
      </c>
      <c r="BK18" s="36">
        <f t="shared" si="2"/>
        <v>1261</v>
      </c>
      <c r="BL18" s="36">
        <f>AVERAGEIF($B$8:$BA$8,BL$9,$B18:$BA18)</f>
        <v>1215.75</v>
      </c>
      <c r="BM18" s="36">
        <f t="shared" si="6"/>
        <v>1222.5</v>
      </c>
      <c r="BN18" s="36">
        <f t="shared" si="6"/>
        <v>1141.5</v>
      </c>
      <c r="BO18" s="36">
        <f>AVERAGEIF($B$8:$BA$8,BO$9,$B18:$BA18)</f>
        <v>1238.5</v>
      </c>
      <c r="BQ18" t="s">
        <v>506</v>
      </c>
      <c r="BS18" s="4" t="s">
        <v>507</v>
      </c>
      <c r="BT18" s="4" t="s">
        <v>507</v>
      </c>
      <c r="BU18" s="4" t="s">
        <v>507</v>
      </c>
      <c r="BV18" s="4" t="s">
        <v>507</v>
      </c>
      <c r="BW18" s="4" t="s">
        <v>507</v>
      </c>
      <c r="BX18" s="4" t="s">
        <v>507</v>
      </c>
      <c r="BY18" s="4" t="s">
        <v>507</v>
      </c>
      <c r="BZ18" s="4" t="s">
        <v>507</v>
      </c>
      <c r="CA18" s="4" t="s">
        <v>507</v>
      </c>
      <c r="CB18" s="4" t="s">
        <v>507</v>
      </c>
      <c r="CC18" s="4" t="s">
        <v>507</v>
      </c>
      <c r="CD18" s="4" t="s">
        <v>507</v>
      </c>
      <c r="CE18" s="4" t="s">
        <v>507</v>
      </c>
      <c r="CF18" s="4" t="s">
        <v>507</v>
      </c>
      <c r="CG18" s="4" t="s">
        <v>507</v>
      </c>
      <c r="CH18" s="4" t="s">
        <v>507</v>
      </c>
      <c r="CI18" s="4" t="s">
        <v>508</v>
      </c>
      <c r="CJ18" s="4" t="s">
        <v>508</v>
      </c>
      <c r="CK18" s="4" t="s">
        <v>508</v>
      </c>
      <c r="CL18" s="4" t="s">
        <v>508</v>
      </c>
      <c r="CM18" s="4" t="s">
        <v>508</v>
      </c>
      <c r="CN18" s="4" t="s">
        <v>508</v>
      </c>
      <c r="CO18" s="4" t="s">
        <v>508</v>
      </c>
      <c r="CP18" s="4" t="s">
        <v>508</v>
      </c>
      <c r="CQ18" s="4" t="s">
        <v>509</v>
      </c>
      <c r="CR18" s="4" t="s">
        <v>509</v>
      </c>
      <c r="CS18" s="4" t="s">
        <v>509</v>
      </c>
      <c r="CT18" s="4" t="s">
        <v>509</v>
      </c>
      <c r="CU18" s="4" t="s">
        <v>510</v>
      </c>
      <c r="CV18" s="4" t="s">
        <v>510</v>
      </c>
      <c r="CW18" s="4" t="s">
        <v>510</v>
      </c>
      <c r="CX18" s="4" t="s">
        <v>510</v>
      </c>
      <c r="CY18" s="4" t="s">
        <v>514</v>
      </c>
      <c r="CZ18" s="4" t="s">
        <v>514</v>
      </c>
      <c r="DA18" s="4" t="s">
        <v>514</v>
      </c>
      <c r="DB18" s="4" t="s">
        <v>514</v>
      </c>
      <c r="DC18" s="4" t="s">
        <v>512</v>
      </c>
      <c r="DD18" s="4" t="s">
        <v>512</v>
      </c>
      <c r="DE18" s="4" t="s">
        <v>512</v>
      </c>
      <c r="DF18" s="4" t="s">
        <v>512</v>
      </c>
      <c r="DG18" s="4" t="s">
        <v>512</v>
      </c>
      <c r="DH18" s="4" t="s">
        <v>512</v>
      </c>
      <c r="DI18" s="4" t="s">
        <v>512</v>
      </c>
      <c r="DJ18" s="4" t="s">
        <v>512</v>
      </c>
      <c r="DL18" s="4" t="s">
        <v>513</v>
      </c>
      <c r="DM18" s="4" t="s">
        <v>513</v>
      </c>
      <c r="DN18" s="4" t="s">
        <v>513</v>
      </c>
      <c r="DO18" s="4" t="s">
        <v>513</v>
      </c>
      <c r="DP18" s="4" t="s">
        <v>513</v>
      </c>
      <c r="DQ18" s="4" t="s">
        <v>513</v>
      </c>
      <c r="DR18" s="4" t="s">
        <v>513</v>
      </c>
    </row>
    <row r="19" spans="1:122" x14ac:dyDescent="0.2">
      <c r="A19" s="32" t="s">
        <v>131</v>
      </c>
      <c r="B19" s="13"/>
      <c r="C19" s="13"/>
      <c r="D19" s="33"/>
      <c r="E19" s="33"/>
      <c r="F19" s="33"/>
      <c r="G19" s="33">
        <f>SourcedData!O98</f>
        <v>84</v>
      </c>
      <c r="H19" s="33"/>
      <c r="I19" s="33"/>
      <c r="J19" s="33"/>
      <c r="K19" s="33">
        <f>SourcedData!S98</f>
        <v>9</v>
      </c>
      <c r="L19" s="33"/>
      <c r="M19" s="33"/>
      <c r="N19" s="33"/>
      <c r="O19" s="33">
        <f>SourcedData!W98</f>
        <v>1</v>
      </c>
      <c r="P19" s="33"/>
      <c r="Q19" s="33"/>
      <c r="R19" s="33"/>
      <c r="S19" s="33"/>
      <c r="T19" s="33"/>
      <c r="U19" s="33"/>
      <c r="V19" s="33"/>
      <c r="W19" s="33">
        <f>SourcedData!AE98</f>
        <v>1</v>
      </c>
      <c r="X19" s="33"/>
      <c r="Y19" s="33"/>
      <c r="Z19" s="33"/>
      <c r="AA19" s="33"/>
      <c r="AB19" s="33"/>
      <c r="AC19" s="33"/>
      <c r="AD19" s="33"/>
      <c r="AE19" s="33">
        <f>SourcedData!AM98</f>
        <v>16</v>
      </c>
      <c r="AF19" s="33">
        <f>SourcedData!AN98</f>
        <v>38</v>
      </c>
      <c r="AG19" s="33">
        <f>SourcedData!AO98</f>
        <v>167</v>
      </c>
      <c r="AH19" s="33">
        <f>SourcedData!AP98</f>
        <v>266</v>
      </c>
      <c r="AI19" s="33">
        <f>SourcedData!AQ98</f>
        <v>317</v>
      </c>
      <c r="AJ19" s="33">
        <f>SourcedData!AR98</f>
        <v>336</v>
      </c>
      <c r="AK19" s="33">
        <f>SourcedData!AS98</f>
        <v>355</v>
      </c>
      <c r="AL19" s="33">
        <f>SourcedData!AT98</f>
        <v>477</v>
      </c>
      <c r="AM19" s="33">
        <f>SourcedData!AU98</f>
        <v>583</v>
      </c>
      <c r="AN19" s="33">
        <f>SourcedData!AV98</f>
        <v>582</v>
      </c>
      <c r="AO19" s="33">
        <f>SourcedData!AW98</f>
        <v>660</v>
      </c>
      <c r="AP19" s="33">
        <f>SourcedData!AX98</f>
        <v>613</v>
      </c>
      <c r="AQ19" s="33">
        <f>SourcedData!AY98</f>
        <v>657</v>
      </c>
      <c r="AR19" s="33">
        <f>SourcedData!AZ98</f>
        <v>739</v>
      </c>
      <c r="AS19" s="33">
        <f>SourcedData!BA98</f>
        <v>689</v>
      </c>
      <c r="AT19" s="33">
        <f>SourcedData!BB98</f>
        <v>721</v>
      </c>
      <c r="AU19" s="33">
        <f>SourcedData!BC98</f>
        <v>696</v>
      </c>
      <c r="AV19" s="33">
        <f>SourcedData!BD98</f>
        <v>738</v>
      </c>
      <c r="AW19" s="33">
        <f>SourcedData!BE98</f>
        <v>727</v>
      </c>
      <c r="AX19" s="33">
        <f>SourcedData!BF98</f>
        <v>738</v>
      </c>
      <c r="AY19" s="33">
        <f>SourcedData!BG98</f>
        <v>749</v>
      </c>
      <c r="AZ19" s="33">
        <f>SourcedData!BH98</f>
        <v>738</v>
      </c>
      <c r="BA19">
        <f>SourcedData!BI98</f>
        <v>735</v>
      </c>
      <c r="BC19" s="36">
        <f>IFERROR(AVERAGEIF($B$8:$AC$8,BC$9,$B19:$AC19),0)</f>
        <v>0</v>
      </c>
      <c r="BD19" s="36">
        <f t="shared" ref="BD19:BF20" si="7">AVERAGEIF($B$8:$AC$8,BD$9,$B19:$AC19)</f>
        <v>84</v>
      </c>
      <c r="BE19" s="36">
        <f t="shared" si="7"/>
        <v>9</v>
      </c>
      <c r="BF19" s="36">
        <f t="shared" si="7"/>
        <v>1</v>
      </c>
      <c r="BG19" s="36">
        <f>IFERROR(AVERAGEIF($B$8:$AC$8,BG$9,$B19:$AC19),0)</f>
        <v>0</v>
      </c>
      <c r="BH19" s="36">
        <f>AVERAGEIF($B$8:$AC$8,BH$9,$B19:$AC19)</f>
        <v>1</v>
      </c>
      <c r="BM19" s="36">
        <f t="shared" si="6"/>
        <v>674.5</v>
      </c>
      <c r="BN19" s="36">
        <f t="shared" si="6"/>
        <v>720.5</v>
      </c>
      <c r="BO19" s="36">
        <f>AVERAGEIF($B$8:$BA$8,BO$9,$B19:$BA19)</f>
        <v>740</v>
      </c>
      <c r="BQ19" t="s">
        <v>516</v>
      </c>
      <c r="BS19" s="4" t="s">
        <v>507</v>
      </c>
      <c r="BT19" s="4" t="s">
        <v>507</v>
      </c>
      <c r="BU19" s="4" t="s">
        <v>507</v>
      </c>
      <c r="BV19" s="4" t="s">
        <v>507</v>
      </c>
      <c r="BW19" s="4" t="s">
        <v>507</v>
      </c>
      <c r="BX19" s="4" t="s">
        <v>507</v>
      </c>
      <c r="BY19" s="4" t="s">
        <v>507</v>
      </c>
      <c r="BZ19" s="4" t="s">
        <v>507</v>
      </c>
      <c r="CA19" s="4" t="s">
        <v>507</v>
      </c>
      <c r="CB19" s="4" t="s">
        <v>507</v>
      </c>
      <c r="CC19" s="4" t="s">
        <v>507</v>
      </c>
      <c r="CD19" s="4" t="s">
        <v>507</v>
      </c>
      <c r="CE19" s="4" t="s">
        <v>507</v>
      </c>
      <c r="CF19" s="4" t="s">
        <v>507</v>
      </c>
      <c r="CG19" s="4" t="s">
        <v>507</v>
      </c>
      <c r="CH19" s="4" t="s">
        <v>507</v>
      </c>
      <c r="CI19" s="4" t="s">
        <v>508</v>
      </c>
      <c r="CJ19" s="4" t="s">
        <v>508</v>
      </c>
      <c r="CK19" s="4" t="s">
        <v>508</v>
      </c>
      <c r="CL19" s="4" t="s">
        <v>508</v>
      </c>
      <c r="CM19" s="4" t="s">
        <v>508</v>
      </c>
      <c r="CN19" s="4" t="s">
        <v>508</v>
      </c>
      <c r="CO19" s="4" t="s">
        <v>508</v>
      </c>
      <c r="CP19" s="4" t="s">
        <v>508</v>
      </c>
      <c r="CV19" s="4" t="s">
        <v>512</v>
      </c>
      <c r="CW19" s="4" t="s">
        <v>512</v>
      </c>
      <c r="CX19" s="4" t="s">
        <v>512</v>
      </c>
      <c r="CY19" s="4" t="s">
        <v>512</v>
      </c>
      <c r="CZ19" s="4" t="s">
        <v>512</v>
      </c>
      <c r="DA19" s="4" t="s">
        <v>512</v>
      </c>
      <c r="DB19" s="4" t="s">
        <v>512</v>
      </c>
      <c r="DC19" s="4" t="s">
        <v>512</v>
      </c>
      <c r="DD19" s="4" t="s">
        <v>512</v>
      </c>
      <c r="DE19" s="4" t="s">
        <v>512</v>
      </c>
      <c r="DF19" s="4" t="s">
        <v>512</v>
      </c>
      <c r="DG19" s="4" t="s">
        <v>512</v>
      </c>
      <c r="DH19" s="4" t="s">
        <v>512</v>
      </c>
      <c r="DI19" s="4" t="s">
        <v>512</v>
      </c>
      <c r="DJ19" s="4" t="s">
        <v>512</v>
      </c>
      <c r="DK19" s="4" t="s">
        <v>513</v>
      </c>
      <c r="DL19" s="4" t="s">
        <v>513</v>
      </c>
      <c r="DM19" s="4" t="s">
        <v>513</v>
      </c>
      <c r="DN19" s="4" t="s">
        <v>513</v>
      </c>
      <c r="DO19" s="4" t="s">
        <v>513</v>
      </c>
      <c r="DP19" s="4" t="s">
        <v>513</v>
      </c>
      <c r="DQ19" s="4" t="s">
        <v>513</v>
      </c>
      <c r="DR19" s="4" t="s">
        <v>513</v>
      </c>
    </row>
    <row r="20" spans="1:122" x14ac:dyDescent="0.2">
      <c r="A20" s="32" t="s">
        <v>496</v>
      </c>
      <c r="B20" s="34">
        <f>SourcedData!J99</f>
        <v>1027</v>
      </c>
      <c r="C20" s="34">
        <f>SourcedData!K99</f>
        <v>1002</v>
      </c>
      <c r="D20" s="33">
        <f>SourcedData!L99</f>
        <v>878</v>
      </c>
      <c r="E20" s="33">
        <f>SourcedData!M99</f>
        <v>881</v>
      </c>
      <c r="F20" s="33">
        <f>SourcedData!N99</f>
        <v>768</v>
      </c>
      <c r="G20" s="33">
        <f>SourcedData!O99</f>
        <v>793</v>
      </c>
      <c r="H20" s="33">
        <f>SourcedData!P99</f>
        <v>848</v>
      </c>
      <c r="I20" s="33">
        <f>SourcedData!Q99</f>
        <v>860</v>
      </c>
      <c r="J20" s="33">
        <f>SourcedData!R99</f>
        <v>802</v>
      </c>
      <c r="K20" s="33">
        <f>SourcedData!S99</f>
        <v>920</v>
      </c>
      <c r="L20" s="33">
        <f>SourcedData!T99</f>
        <v>881</v>
      </c>
      <c r="M20" s="33">
        <f>SourcedData!U99</f>
        <v>886</v>
      </c>
      <c r="N20" s="33">
        <f>SourcedData!V99</f>
        <v>824</v>
      </c>
      <c r="O20" s="33">
        <f>SourcedData!W99</f>
        <v>1041</v>
      </c>
      <c r="P20" s="33">
        <f>SourcedData!X99</f>
        <v>840</v>
      </c>
      <c r="Q20" s="33">
        <f>SourcedData!Y99</f>
        <v>660</v>
      </c>
      <c r="R20" s="33">
        <f>SourcedData!Z99</f>
        <v>699</v>
      </c>
      <c r="S20" s="33">
        <f>SourcedData!AA99</f>
        <v>681</v>
      </c>
      <c r="T20" s="33">
        <f>SourcedData!AB99</f>
        <v>641</v>
      </c>
      <c r="U20" s="33">
        <f>SourcedData!AC99</f>
        <v>611</v>
      </c>
      <c r="V20" s="33">
        <f>SourcedData!AD99</f>
        <v>472</v>
      </c>
      <c r="W20" s="33">
        <f>SourcedData!AE99</f>
        <v>484</v>
      </c>
      <c r="X20" s="33">
        <f>SourcedData!AF99</f>
        <v>664</v>
      </c>
      <c r="Y20" s="33">
        <f>SourcedData!AG99</f>
        <v>653</v>
      </c>
      <c r="Z20" s="33">
        <f>SourcedData!AH99</f>
        <v>751</v>
      </c>
      <c r="AA20" s="33">
        <f>SourcedData!AI99</f>
        <v>787</v>
      </c>
      <c r="AB20" s="33">
        <f>SourcedData!AJ99</f>
        <v>881</v>
      </c>
      <c r="AC20" s="33">
        <f>SourcedData!AK99</f>
        <v>817</v>
      </c>
      <c r="AD20" s="33">
        <f>SourcedData!AL99</f>
        <v>906</v>
      </c>
      <c r="AE20" s="33">
        <f>SourcedData!AM99</f>
        <v>955</v>
      </c>
      <c r="AF20" s="33" t="s">
        <v>157</v>
      </c>
      <c r="AG20" s="33">
        <f>SourcedData!AO99</f>
        <v>1023</v>
      </c>
      <c r="AH20" s="33">
        <f>SourcedData!AP99</f>
        <v>944</v>
      </c>
      <c r="AI20" s="33">
        <f>SourcedData!AQ99</f>
        <v>1019</v>
      </c>
      <c r="AJ20" s="33">
        <f>SourcedData!AR99</f>
        <v>986</v>
      </c>
      <c r="AK20" s="33">
        <f>SourcedData!AS99</f>
        <v>817</v>
      </c>
      <c r="AL20" s="33">
        <f>SourcedData!AT99</f>
        <v>909</v>
      </c>
      <c r="AM20" s="33">
        <f>SourcedData!AU99</f>
        <v>986</v>
      </c>
      <c r="AN20" s="33">
        <f>SourcedData!AV99</f>
        <v>938</v>
      </c>
      <c r="AO20" s="33">
        <f>SourcedData!AW99</f>
        <v>895</v>
      </c>
      <c r="AP20" s="33">
        <f>SourcedData!AX99</f>
        <v>1010</v>
      </c>
      <c r="AQ20" s="33">
        <f>SourcedData!AY99</f>
        <v>1043</v>
      </c>
      <c r="AR20" s="33">
        <f>SourcedData!AZ99</f>
        <v>972</v>
      </c>
      <c r="AS20" s="33">
        <f>SourcedData!BA99</f>
        <v>1105</v>
      </c>
      <c r="AT20" s="33">
        <f>SourcedData!BB99</f>
        <v>1022</v>
      </c>
      <c r="AU20" s="33">
        <f>SourcedData!BC99</f>
        <v>1148</v>
      </c>
      <c r="AV20" s="33">
        <f>SourcedData!BD99</f>
        <v>1181</v>
      </c>
      <c r="AW20" s="33">
        <f>SourcedData!BE99</f>
        <v>1190</v>
      </c>
      <c r="AX20" s="33">
        <f>SourcedData!BF99</f>
        <v>1271</v>
      </c>
      <c r="AY20" s="33">
        <f>SourcedData!BG99</f>
        <v>1185</v>
      </c>
      <c r="AZ20" s="33">
        <f>SourcedData!BH99</f>
        <v>1103</v>
      </c>
      <c r="BA20" s="33">
        <f>SourcedData!BI99</f>
        <v>1117</v>
      </c>
      <c r="BC20" s="36">
        <f>AVERAGEIF($B$8:$AC$8,BC$9,$B20:$AC20)</f>
        <v>947</v>
      </c>
      <c r="BD20" s="36">
        <f t="shared" si="7"/>
        <v>817.25</v>
      </c>
      <c r="BE20" s="36">
        <f t="shared" si="7"/>
        <v>872.25</v>
      </c>
      <c r="BF20" s="36">
        <f t="shared" si="7"/>
        <v>841.25</v>
      </c>
      <c r="BG20" s="36">
        <f>AVERAGEIF($B$8:$AC$8,BG$9,$B20:$AC20)</f>
        <v>658</v>
      </c>
      <c r="BH20" s="36">
        <f>AVERAGEIF($B$8:$AC$8,BH$9,$B20:$AC20)</f>
        <v>568.25</v>
      </c>
      <c r="BI20" s="36">
        <f>AVERAGEIF($B$8:$AC$8,BI$9,$B20:$AC20)</f>
        <v>809</v>
      </c>
      <c r="BJ20" s="36">
        <f>AVERAGEIF($B$8:$AK$8,BJ$9,$B20:$AK20)</f>
        <v>961.33333333333337</v>
      </c>
      <c r="BK20" s="36">
        <f>AVERAGEIF($B$8:$AK$8,BK$9,$B20:$AK20)</f>
        <v>941.5</v>
      </c>
      <c r="BL20" s="36">
        <f>AVERAGEIF($B$8:$BA$8,BL$9,$B20:$BA20)</f>
        <v>932</v>
      </c>
      <c r="BM20" s="36">
        <f t="shared" si="6"/>
        <v>1032.5</v>
      </c>
      <c r="BN20" s="36">
        <f t="shared" si="6"/>
        <v>1135.25</v>
      </c>
      <c r="BO20" s="36">
        <f>AVERAGEIF($B$8:$BA$8,BO$9,$B20:$BA20)</f>
        <v>1169</v>
      </c>
      <c r="BQ20" t="s">
        <v>506</v>
      </c>
      <c r="BS20" s="4" t="s">
        <v>507</v>
      </c>
      <c r="BT20" s="4" t="s">
        <v>507</v>
      </c>
      <c r="BU20" s="4" t="s">
        <v>507</v>
      </c>
      <c r="BV20" s="4" t="s">
        <v>507</v>
      </c>
      <c r="BW20" s="4" t="s">
        <v>507</v>
      </c>
      <c r="BX20" s="4" t="s">
        <v>507</v>
      </c>
      <c r="BY20" s="4" t="s">
        <v>507</v>
      </c>
      <c r="BZ20" s="4" t="s">
        <v>507</v>
      </c>
      <c r="CA20" s="4" t="s">
        <v>507</v>
      </c>
      <c r="CB20" s="4" t="s">
        <v>507</v>
      </c>
      <c r="CC20" s="4" t="s">
        <v>507</v>
      </c>
      <c r="CD20" s="4" t="s">
        <v>507</v>
      </c>
      <c r="CE20" s="4" t="s">
        <v>507</v>
      </c>
      <c r="CF20" s="4" t="s">
        <v>507</v>
      </c>
      <c r="CG20" s="4" t="s">
        <v>507</v>
      </c>
      <c r="CH20" s="4" t="s">
        <v>507</v>
      </c>
      <c r="CI20" s="4" t="s">
        <v>508</v>
      </c>
      <c r="CJ20" s="4" t="s">
        <v>508</v>
      </c>
      <c r="CK20" s="4" t="s">
        <v>508</v>
      </c>
      <c r="CL20" s="4" t="s">
        <v>508</v>
      </c>
      <c r="CM20" s="4" t="s">
        <v>508</v>
      </c>
      <c r="CN20" s="4" t="s">
        <v>508</v>
      </c>
      <c r="CO20" s="4" t="s">
        <v>508</v>
      </c>
      <c r="CP20" s="4" t="s">
        <v>508</v>
      </c>
      <c r="CQ20" s="4" t="s">
        <v>509</v>
      </c>
      <c r="CR20" s="4" t="s">
        <v>509</v>
      </c>
      <c r="CS20" s="4" t="s">
        <v>509</v>
      </c>
      <c r="CT20" s="4" t="s">
        <v>509</v>
      </c>
      <c r="CU20" s="4" t="s">
        <v>510</v>
      </c>
      <c r="CV20" s="4" t="s">
        <v>510</v>
      </c>
      <c r="CW20" s="4" t="s">
        <v>510</v>
      </c>
      <c r="CX20" s="4" t="s">
        <v>510</v>
      </c>
      <c r="CY20" s="4" t="s">
        <v>514</v>
      </c>
      <c r="CZ20" s="4" t="s">
        <v>514</v>
      </c>
      <c r="DA20" s="4" t="s">
        <v>514</v>
      </c>
      <c r="DB20" s="4" t="s">
        <v>514</v>
      </c>
      <c r="DC20" s="4" t="s">
        <v>512</v>
      </c>
      <c r="DD20" s="4" t="s">
        <v>512</v>
      </c>
      <c r="DE20" s="4" t="s">
        <v>512</v>
      </c>
      <c r="DF20" s="4" t="s">
        <v>512</v>
      </c>
      <c r="DG20" s="4" t="s">
        <v>512</v>
      </c>
      <c r="DH20" s="4" t="s">
        <v>512</v>
      </c>
      <c r="DI20" s="4" t="s">
        <v>512</v>
      </c>
      <c r="DJ20" s="4" t="s">
        <v>512</v>
      </c>
      <c r="DK20" s="4" t="s">
        <v>513</v>
      </c>
      <c r="DL20" s="4" t="s">
        <v>513</v>
      </c>
      <c r="DM20" s="4" t="s">
        <v>513</v>
      </c>
      <c r="DN20" s="4" t="s">
        <v>513</v>
      </c>
      <c r="DO20" s="4" t="s">
        <v>513</v>
      </c>
      <c r="DP20" s="4" t="s">
        <v>513</v>
      </c>
      <c r="DQ20" s="4" t="s">
        <v>513</v>
      </c>
      <c r="DR20" s="4" t="s">
        <v>513</v>
      </c>
    </row>
    <row r="21" spans="1:122" x14ac:dyDescent="0.2">
      <c r="B21" s="13"/>
      <c r="C21" s="13"/>
      <c r="D21" s="13"/>
      <c r="E21" s="13"/>
    </row>
    <row r="22" spans="1:122" x14ac:dyDescent="0.2"/>
    <row r="23" spans="1:122" x14ac:dyDescent="0.2">
      <c r="A23" s="54" t="s">
        <v>485</v>
      </c>
    </row>
    <row r="24" spans="1:122" x14ac:dyDescent="0.2">
      <c r="A24" s="55" t="s">
        <v>517</v>
      </c>
      <c r="BC24" s="36">
        <f t="shared" ref="BC24:BO24" si="8">SUM(BC13:BC14)</f>
        <v>473.5</v>
      </c>
      <c r="BD24" s="36">
        <f t="shared" si="8"/>
        <v>496.75</v>
      </c>
      <c r="BE24" s="36">
        <f t="shared" si="8"/>
        <v>438.25</v>
      </c>
      <c r="BF24" s="36">
        <f t="shared" si="8"/>
        <v>420.25</v>
      </c>
      <c r="BG24" s="36">
        <f t="shared" si="8"/>
        <v>430.5</v>
      </c>
      <c r="BH24" s="36">
        <f t="shared" si="8"/>
        <v>473</v>
      </c>
      <c r="BI24" s="36">
        <f t="shared" si="8"/>
        <v>493</v>
      </c>
      <c r="BJ24" s="36">
        <f t="shared" si="8"/>
        <v>528.25</v>
      </c>
      <c r="BK24" s="36">
        <f t="shared" si="8"/>
        <v>529</v>
      </c>
      <c r="BL24" s="36">
        <f t="shared" si="8"/>
        <v>427.25</v>
      </c>
      <c r="BM24" s="36">
        <f t="shared" si="8"/>
        <v>493.75</v>
      </c>
      <c r="BN24" s="36">
        <f t="shared" si="8"/>
        <v>697.25</v>
      </c>
      <c r="BO24" s="36">
        <f t="shared" si="8"/>
        <v>857.25</v>
      </c>
      <c r="BQ24" t="s">
        <v>518</v>
      </c>
    </row>
    <row r="25" spans="1:122" x14ac:dyDescent="0.2">
      <c r="A25" t="s">
        <v>250</v>
      </c>
      <c r="BC25" s="36">
        <f>BC13*VariousOperations_Calculations!CE161/SUM(VariousOperations_Calculations!CE161,VariousOperations_Calculations!CE170)</f>
        <v>378.8</v>
      </c>
      <c r="BD25" s="36">
        <f>BD13*VariousOperations_Calculations!CF161/SUM(VariousOperations_Calculations!CF161,VariousOperations_Calculations!CF170)</f>
        <v>397.4</v>
      </c>
      <c r="BE25" s="36">
        <f>BE13*VariousOperations_Calculations!CG161/SUM(VariousOperations_Calculations!CG161,VariousOperations_Calculations!CG170)</f>
        <v>350.6</v>
      </c>
      <c r="BF25" s="36">
        <f>(BF13+BF14)*VariousOperations_Calculations!CH161/SUM(VariousOperations_Calculations!CH161,VariousOperations_Calculations!CH170)</f>
        <v>336.2</v>
      </c>
      <c r="BG25" s="36">
        <f>(BG13+BG14)*VariousOperations_Calculations!CI161/SUM(VariousOperations_Calculations!CI161,VariousOperations_Calculations!CI170)</f>
        <v>344.40000000000003</v>
      </c>
      <c r="BH25" s="36">
        <f>(BH13+BH14)*VariousOperations_Calculations!CJ161/SUM(VariousOperations_Calculations!CJ161,VariousOperations_Calculations!CJ170)</f>
        <v>378.4</v>
      </c>
      <c r="BI25" s="36">
        <f>(BI13+BI14)*VariousOperations_Calculations!CK161/SUM(VariousOperations_Calculations!CK161,VariousOperations_Calculations!CK170)</f>
        <v>394.39999999999992</v>
      </c>
      <c r="BJ25" s="36">
        <f>(BJ13+BJ14)*VariousOperations_Calculations!CL161/SUM(VariousOperations_Calculations!CL161,VariousOperations_Calculations!CL170)</f>
        <v>422.5999999999998</v>
      </c>
      <c r="BK25" s="36">
        <f>(BK13+BK14)*VariousOperations_Calculations!CM161/SUM(VariousOperations_Calculations!CM161,VariousOperations_Calculations!CM170)</f>
        <v>423.19999999999982</v>
      </c>
      <c r="BL25" s="36">
        <f>(BL13+BL14)*VariousOperations_Calculations!CN161/SUM(VariousOperations_Calculations!CN161,VariousOperations_Calculations!CN170)</f>
        <v>341.79999999999984</v>
      </c>
      <c r="BM25" s="36">
        <f>(BM13+BM14)*VariousOperations_Calculations!CO161/SUM(VariousOperations_Calculations!CO161,VariousOperations_Calculations!CO170)</f>
        <v>394.99999999999983</v>
      </c>
      <c r="BN25" s="36">
        <f>(BN13+BN14)*VariousOperations_Calculations!CP161/SUM(VariousOperations_Calculations!CP161,VariousOperations_Calculations!CP170)</f>
        <v>557.79999999999973</v>
      </c>
      <c r="BO25" s="36">
        <f>(BO13+BO14)*VariousOperations_Calculations!CQ161/SUM(VariousOperations_Calculations!CQ161,VariousOperations_Calculations!CQ170)</f>
        <v>685.79999999999984</v>
      </c>
      <c r="BQ25" t="s">
        <v>519</v>
      </c>
    </row>
    <row r="26" spans="1:122" x14ac:dyDescent="0.2">
      <c r="A26" t="s">
        <v>252</v>
      </c>
      <c r="BC26" s="36">
        <f>BC13-BC25</f>
        <v>94.699999999999989</v>
      </c>
      <c r="BD26" s="36">
        <f>BD13-BD25</f>
        <v>99.350000000000023</v>
      </c>
      <c r="BE26" s="36">
        <f>BE13-BE25</f>
        <v>87.649999999999977</v>
      </c>
      <c r="BF26" s="36">
        <f t="shared" ref="BF26:BO26" si="9">(BF13+BF14)-BF25</f>
        <v>84.050000000000011</v>
      </c>
      <c r="BG26" s="36">
        <f t="shared" si="9"/>
        <v>86.099999999999966</v>
      </c>
      <c r="BH26" s="36">
        <f t="shared" si="9"/>
        <v>94.600000000000023</v>
      </c>
      <c r="BI26" s="36">
        <f t="shared" si="9"/>
        <v>98.60000000000008</v>
      </c>
      <c r="BJ26" s="36">
        <f t="shared" si="9"/>
        <v>105.6500000000002</v>
      </c>
      <c r="BK26" s="36">
        <f t="shared" si="9"/>
        <v>105.80000000000018</v>
      </c>
      <c r="BL26" s="36">
        <f t="shared" si="9"/>
        <v>85.450000000000159</v>
      </c>
      <c r="BM26" s="36">
        <f t="shared" si="9"/>
        <v>98.750000000000171</v>
      </c>
      <c r="BN26" s="36">
        <f t="shared" si="9"/>
        <v>139.45000000000027</v>
      </c>
      <c r="BO26" s="36">
        <f t="shared" si="9"/>
        <v>171.45000000000016</v>
      </c>
    </row>
    <row r="27" spans="1:122" x14ac:dyDescent="0.2"/>
    <row r="28" spans="1:122" x14ac:dyDescent="0.2">
      <c r="A28" t="s">
        <v>128</v>
      </c>
      <c r="F28" s="35"/>
      <c r="I28" s="35"/>
    </row>
    <row r="29" spans="1:122" x14ac:dyDescent="0.2">
      <c r="A29" s="76" t="s">
        <v>498</v>
      </c>
      <c r="F29" s="35"/>
      <c r="BK29">
        <f>SourcedData!CJ100</f>
        <v>250</v>
      </c>
      <c r="DL29" s="4" t="s">
        <v>520</v>
      </c>
    </row>
    <row r="30" spans="1:122" x14ac:dyDescent="0.2">
      <c r="A30" s="76" t="s">
        <v>500</v>
      </c>
      <c r="BK30">
        <f>SourcedData!CJ101</f>
        <v>140</v>
      </c>
      <c r="DL30" s="4" t="s">
        <v>520</v>
      </c>
    </row>
    <row r="31" spans="1:122" x14ac:dyDescent="0.2">
      <c r="A31" s="76" t="s">
        <v>248</v>
      </c>
      <c r="BK31" s="36">
        <f>BK30+BK29</f>
        <v>390</v>
      </c>
    </row>
    <row r="32" spans="1:122" x14ac:dyDescent="0.2">
      <c r="A32" s="76" t="s">
        <v>521</v>
      </c>
      <c r="BK32" s="77">
        <f>BK30/BK31</f>
        <v>0.35897435897435898</v>
      </c>
    </row>
    <row r="33" spans="1:116" x14ac:dyDescent="0.2">
      <c r="A33" t="s">
        <v>122</v>
      </c>
    </row>
    <row r="34" spans="1:116" x14ac:dyDescent="0.2">
      <c r="A34" s="76" t="s">
        <v>498</v>
      </c>
      <c r="BK34">
        <f>SourcedData!CJ102</f>
        <v>3</v>
      </c>
      <c r="DL34" s="4" t="s">
        <v>520</v>
      </c>
    </row>
    <row r="35" spans="1:116" x14ac:dyDescent="0.2">
      <c r="A35" s="76" t="s">
        <v>500</v>
      </c>
      <c r="BK35">
        <f>SourcedData!CJ103</f>
        <v>874</v>
      </c>
      <c r="DL35" s="4" t="s">
        <v>520</v>
      </c>
    </row>
    <row r="36" spans="1:116" x14ac:dyDescent="0.2">
      <c r="A36" s="76" t="s">
        <v>248</v>
      </c>
      <c r="BK36" s="36">
        <f>BK35+BK34</f>
        <v>877</v>
      </c>
    </row>
    <row r="37" spans="1:116" x14ac:dyDescent="0.2">
      <c r="A37" s="76" t="s">
        <v>521</v>
      </c>
      <c r="BK37" s="77">
        <f>BK35/BK36</f>
        <v>0.9965792474344356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SourcedData</vt:lpstr>
      <vt:lpstr>VariousOperations_Calculations</vt:lpstr>
      <vt:lpstr>VariousOperations_Employees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</dc:creator>
  <cp:lastModifiedBy>Dawid Lipus</cp:lastModifiedBy>
  <dcterms:created xsi:type="dcterms:W3CDTF">2015-05-29T11:36:01Z</dcterms:created>
  <dcterms:modified xsi:type="dcterms:W3CDTF">2026-03-12T20:46:22Z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0x010100A367073D4B1805499387E93D9491EE2F0010025C57B6BD0F4B91531AEAD2B3D9B6</vt:lpwstr>
  </property>
  <property fmtid="{D5CDD505-2E9C-101B-9397-08002B2CF9AE}" pid="3" name="_dlc_DocIdItemGuid">
    <vt:lpwstr>bd987efe-43a6-4131-a169-fb3d8562174e</vt:lpwstr>
  </property>
  <property fmtid="{D5CDD505-2E9C-101B-9397-08002B2CF9AE}" pid="4" name="MineSpansLanguage">
    <vt:lpwstr>6860;#English|8495170d-7ceb-4193-a924-2d465e376b9a</vt:lpwstr>
  </property>
  <property fmtid="{D5CDD505-2E9C-101B-9397-08002B2CF9AE}" pid="5" name="Year">
    <vt:lpwstr>16;#2012|52e231b1-7580-4352-8c7a-0e468c583723;#41;#2013|61f7c29f-c331-4473-8f54-9f898aab9bb2;#55;#2014|7ee14e06-4f72-42a3-a869-363a48e81fa8;#83;#2015|5eeee405-9ee0-4084-8f57-970c5829bc5b;#79;#2016|5a07d1fd-357a-4d71-a8a2-83383690d2e4;#74;#2017|6d9b133f-7d5a-4423-8904-faecca467a98;#3898;#2018|4830ec66-8d46-47e6-90ae-a356b0c61cf9;#3899;#2019|b3af207a-a8f4-4472-a366-7ddb06e1be26;#4101;#2020|e0e54494-166c-476c-be7d-8bf3e83d0264;#4102;#2021|54ee7dde-5727-4f43-8a0a-751dc0ae4fe4;#4103;#2022|6e273315-b5d3-41cd-996d-663e4ba32cfe;#4104;#2023|df657e6e-9aee-45ea-a04a-5ab5bd6abbd3</vt:lpwstr>
  </property>
  <property fmtid="{D5CDD505-2E9C-101B-9397-08002B2CF9AE}" pid="6" name="MiningCompany">
    <vt:lpwstr>760;#Anglo American Plc|08121baa-0e0d-4ee4-ba38-2ab33ea8ff35;#4886;#Mitsui ＆ Co|fcf9fdad-738d-4c55-bc3f-8abdc7a263be;#7092;#Jellinbah Group Pty Ltd|4364347d-eb61-4b5f-a7b3-7b45fd61afff;#3457;#Marubeni Corp|add62d96-ece9-4a5d-ba35-76649ef3746c;#4530;#Sojitz Corp|71868412-bc45-4248-973b-6c3fdcfe0364</vt:lpwstr>
  </property>
  <property fmtid="{D5CDD505-2E9C-101B-9397-08002B2CF9AE}" pid="7" name="MineSpansLocation">
    <vt:lpwstr>39;#Australia|6ad8824a-5db2-4859-8810-a2b1425f6e07</vt:lpwstr>
  </property>
  <property fmtid="{D5CDD505-2E9C-101B-9397-08002B2CF9AE}" pid="8" name="Commodity">
    <vt:lpwstr>8;#Coal|d456660b-8eb4-40d2-8e12-8f0d86696eb8</vt:lpwstr>
  </property>
  <property fmtid="{D5CDD505-2E9C-101B-9397-08002B2CF9AE}" pid="9" name="DocumentType">
    <vt:lpwstr>3528;#Excel Backup|2d6c171f-e309-424e-8ff3-831c8da010ab</vt:lpwstr>
  </property>
  <property fmtid="{D5CDD505-2E9C-101B-9397-08002B2CF9AE}" pid="10" name="Mine">
    <vt:lpwstr>6986;#Dawson Coal Mine|25a5c4fd-8f4c-4962-be3f-16dd2041c08b;#6993;#Lake Lindsay Coal Mine|53a27e18-856c-4b3a-94bf-c94c6de01fe6;#6999;#Aquila Coal Mine|5e9351d1-11e7-456d-988c-f55feafae97a;#6995;#Jellinbah East Coal Mine|a6ef8166-7621-430e-91b3-0865fabe5bfd;#6994;#Grosvenor Coal Mine|2a5a7d87-cf00-4dd7-a9c5-1dac9c274837;#6992;#Grasstree Coal Mine|35b9574f-a92c-4aef-b168-ffc79b6791e0;#7093;#Lake Vermont Coal Mine|f337f08f-2333-4dc4-93e2-90e891d4b3f3;#6996;#Moranbah North Coal Mine|4f09a6c1-6cae-45c5-bfe6-63e04c1fac53</vt:lpwstr>
  </property>
  <property fmtid="{D5CDD505-2E9C-101B-9397-08002B2CF9AE}" pid="11" name="AuthorIds_UIVersion_20480">
    <vt:lpwstr>31</vt:lpwstr>
  </property>
  <property fmtid="{D5CDD505-2E9C-101B-9397-08002B2CF9AE}" pid="12" name="Plant">
    <vt:lpwstr/>
  </property>
  <property fmtid="{D5CDD505-2E9C-101B-9397-08002B2CF9AE}" pid="13" name="p92e6124a8594c489c088fac5df4a7cc">
    <vt:lpwstr>Excel Backup|2d6c171f-e309-424e-8ff3-831c8da010ab</vt:lpwstr>
  </property>
  <property fmtid="{D5CDD505-2E9C-101B-9397-08002B2CF9AE}" pid="14" name="_ExtendedDescription">
    <vt:lpwstr/>
  </property>
  <property fmtid="{D5CDD505-2E9C-101B-9397-08002B2CF9AE}" pid="15" name="MediaServiceImageTags">
    <vt:lpwstr/>
  </property>
  <property fmtid="{D5CDD505-2E9C-101B-9397-08002B2CF9AE}" pid="16" name="AITags">
    <vt:lpwstr/>
  </property>
  <property fmtid="{D5CDD505-2E9C-101B-9397-08002B2CF9AE}" pid="17" name="Commodity_x0020_Team">
    <vt:lpwstr/>
  </property>
  <property fmtid="{D5CDD505-2E9C-101B-9397-08002B2CF9AE}" pid="18" name="Commodity Team">
    <vt:lpwstr/>
  </property>
  <property fmtid="{D5CDD505-2E9C-101B-9397-08002B2CF9AE}" pid="19" name="DocumentTags">
    <vt:lpwstr/>
  </property>
</Properties>
</file>